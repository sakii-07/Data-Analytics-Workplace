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ithub\Data-Analytics-Workplace\Data Analytics\Practice session\Excel\excel file and task\"/>
    </mc:Choice>
  </mc:AlternateContent>
  <bookViews>
    <workbookView xWindow="0" yWindow="0" windowWidth="19200" windowHeight="6930"/>
  </bookViews>
  <sheets>
    <sheet name="Student_Data" sheetId="1" r:id="rId1"/>
    <sheet name="Practice_Tasks" sheetId="2" r:id="rId2"/>
  </sheets>
  <calcPr calcId="162913"/>
</workbook>
</file>

<file path=xl/calcChain.xml><?xml version="1.0" encoding="utf-8"?>
<calcChain xmlns="http://schemas.openxmlformats.org/spreadsheetml/2006/main">
  <c r="R21" i="1" l="1"/>
  <c r="R2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R19" i="1"/>
  <c r="R18" i="1"/>
  <c r="R17" i="1"/>
  <c r="R16" i="1"/>
  <c r="R15" i="1"/>
  <c r="R14" i="1"/>
  <c r="R13" i="1"/>
  <c r="R12" i="1"/>
  <c r="R11" i="1"/>
  <c r="K11" i="2"/>
  <c r="R10" i="1"/>
  <c r="R9" i="1"/>
  <c r="R8" i="1"/>
  <c r="R7" i="1"/>
  <c r="R6" i="1"/>
  <c r="R5" i="1"/>
  <c r="R4" i="1"/>
  <c r="K2" i="1"/>
</calcChain>
</file>

<file path=xl/sharedStrings.xml><?xml version="1.0" encoding="utf-8"?>
<sst xmlns="http://schemas.openxmlformats.org/spreadsheetml/2006/main" count="179" uniqueCount="97">
  <si>
    <t>Student_ID</t>
  </si>
  <si>
    <t>Name</t>
  </si>
  <si>
    <t>Branch</t>
  </si>
  <si>
    <t>Course</t>
  </si>
  <si>
    <t>Marks</t>
  </si>
  <si>
    <t>Attendance_%</t>
  </si>
  <si>
    <t>Fees_Paid</t>
  </si>
  <si>
    <t>Gender</t>
  </si>
  <si>
    <t>Aarav</t>
  </si>
  <si>
    <t>Pune</t>
  </si>
  <si>
    <t>DA</t>
  </si>
  <si>
    <t>Male</t>
  </si>
  <si>
    <t>Vivaan</t>
  </si>
  <si>
    <t>Nagpur</t>
  </si>
  <si>
    <t>Python</t>
  </si>
  <si>
    <t>Female</t>
  </si>
  <si>
    <t>Aditya</t>
  </si>
  <si>
    <t>Mumbai</t>
  </si>
  <si>
    <t>Java</t>
  </si>
  <si>
    <t>Vihaan</t>
  </si>
  <si>
    <t>Testing</t>
  </si>
  <si>
    <t>Arjun</t>
  </si>
  <si>
    <t>Sai</t>
  </si>
  <si>
    <t>Riya</t>
  </si>
  <si>
    <t>Priya</t>
  </si>
  <si>
    <t>Neha</t>
  </si>
  <si>
    <t>Ananya</t>
  </si>
  <si>
    <t>Rohit</t>
  </si>
  <si>
    <t>Karan</t>
  </si>
  <si>
    <t>Sneha</t>
  </si>
  <si>
    <t>Pooja</t>
  </si>
  <si>
    <t>Rahul</t>
  </si>
  <si>
    <t>Aditi</t>
  </si>
  <si>
    <t>Isha</t>
  </si>
  <si>
    <t>Meera</t>
  </si>
  <si>
    <t>Yash</t>
  </si>
  <si>
    <t>Om</t>
  </si>
  <si>
    <t>Sahil</t>
  </si>
  <si>
    <t>Tanvi</t>
  </si>
  <si>
    <t>Kavya</t>
  </si>
  <si>
    <t>Nikhil</t>
  </si>
  <si>
    <t>Akash</t>
  </si>
  <si>
    <t>Sakshi</t>
  </si>
  <si>
    <t>Manav</t>
  </si>
  <si>
    <t>Aryan</t>
  </si>
  <si>
    <t>Harsh</t>
  </si>
  <si>
    <t>Vaishnavi</t>
  </si>
  <si>
    <t>Excel Function Practice Tasks</t>
  </si>
  <si>
    <t>1. Calculate Total Marks using SUM.</t>
  </si>
  <si>
    <t>2. Calculate Average Marks using AVERAGE.</t>
  </si>
  <si>
    <t>3. Find Highest Marks using MAX.</t>
  </si>
  <si>
    <t>4. Find Lowest Marks using MIN.</t>
  </si>
  <si>
    <t>5. Count total students using COUNT.</t>
  </si>
  <si>
    <t>6. Count non-empty names using COUNTA.</t>
  </si>
  <si>
    <t>7. Count blank cells using COUNTBLANK (create few blanks).</t>
  </si>
  <si>
    <t>8. Count students with Marks &gt; 80 using COUNTIF.</t>
  </si>
  <si>
    <t>9. Count students from Pune using COUNTIF.</t>
  </si>
  <si>
    <t>10. Count students in DA course using COUNTIF.</t>
  </si>
  <si>
    <t>11. Count students with Marks &gt;70 and Attendance &gt;80 using COUNTIFS.</t>
  </si>
  <si>
    <t>12. Count Female students from Nagpur using COUNTIFS.</t>
  </si>
  <si>
    <t>13. Sum Fees Paid for Pune branch using SUMIF.</t>
  </si>
  <si>
    <t>14. Sum Fees Paid for Python course using SUMIF.</t>
  </si>
  <si>
    <t>15. Sum Fees Paid where Branch=Pune and Course=DA using SUMIFS.</t>
  </si>
  <si>
    <t>16. Sum Fees Paid where Marks&gt;=75 and Attendance&gt;=80 using SUMIFS.</t>
  </si>
  <si>
    <t>17. Use IF to display Pass/Fail (Pass&gt;=50).</t>
  </si>
  <si>
    <t>18. Use IF to display Excellent/Needs Improvement.</t>
  </si>
  <si>
    <t>19. Use IFS for Grades (A,B,C,D).</t>
  </si>
  <si>
    <t>20. Use AND to check Marks&gt;=60 AND Attendance&gt;=75.</t>
  </si>
  <si>
    <t>21. Use OR to check Marks&gt;=90 OR Attendance&gt;=90.</t>
  </si>
  <si>
    <t>22. Use IF with AND to display Eligible/Not Eligible.</t>
  </si>
  <si>
    <t>23. Use IF with OR to display Scholarship Eligible.</t>
  </si>
  <si>
    <t>24. Find average fees paid by Pune students using AVERAGEIF.</t>
  </si>
  <si>
    <t>25. Find average marks for DA course using AVERAGEIFS.</t>
  </si>
  <si>
    <t>total_marks</t>
  </si>
  <si>
    <t>Avg_marks</t>
  </si>
  <si>
    <t>Highest_marks</t>
  </si>
  <si>
    <t>Min_marks</t>
  </si>
  <si>
    <t>Total_count</t>
  </si>
  <si>
    <t>not_null</t>
  </si>
  <si>
    <t>count blanks</t>
  </si>
  <si>
    <t>count if marks &gt; 80</t>
  </si>
  <si>
    <t>student from pune</t>
  </si>
  <si>
    <t xml:space="preserve">marks&gt;70 att&gt;80 </t>
  </si>
  <si>
    <t>female from nagpur</t>
  </si>
  <si>
    <t>paid fees - pune</t>
  </si>
  <si>
    <t>paid fees - py</t>
  </si>
  <si>
    <t>branch-pune c -DA</t>
  </si>
  <si>
    <t xml:space="preserve">marks&gt;=75 att&gt;=80 </t>
  </si>
  <si>
    <t>Result</t>
  </si>
  <si>
    <t>Feedback</t>
  </si>
  <si>
    <t>Grade</t>
  </si>
  <si>
    <t xml:space="preserve">marks&gt;60 att&gt;70 </t>
  </si>
  <si>
    <t>mk&gt;90 or att&gt;90</t>
  </si>
  <si>
    <t>Eligible or not eligible</t>
  </si>
  <si>
    <t>Scollership</t>
  </si>
  <si>
    <t>avg fee - pune</t>
  </si>
  <si>
    <t>avg mrks -DA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</si>
</sst>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topLeftCell="I1" workbookViewId="0">
      <selection activeCell="J28" sqref="J28"/>
    </sheetView>
  </sheetViews>
  <sheetFormatPr defaultRowHeight="14.5" x14ac:dyDescent="0.35"/>
  <cols>
    <col min="10" max="10" width="17.36328125" bestFit="1" customWidth="1"/>
    <col min="11" max="13" width="17.36328125" customWidth="1"/>
    <col min="14" max="14" width="18.7265625" bestFit="1" customWidth="1"/>
    <col min="15" max="15" width="18.7265625" customWidth="1"/>
    <col min="17" max="17" width="17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</row>
    <row r="2" spans="1:18" x14ac:dyDescent="0.35">
      <c r="A2">
        <v>1001</v>
      </c>
      <c r="B2" t="s">
        <v>8</v>
      </c>
      <c r="C2" t="s">
        <v>9</v>
      </c>
      <c r="D2" t="s">
        <v>10</v>
      </c>
      <c r="E2">
        <v>45</v>
      </c>
      <c r="F2">
        <v>60</v>
      </c>
      <c r="G2">
        <v>20000</v>
      </c>
      <c r="H2" t="s">
        <v>11</v>
      </c>
      <c r="I2" t="str">
        <f>IF(Student_Data!E2&gt;=50,"Pass","Fail")</f>
        <v>Fail</v>
      </c>
      <c r="J2" t="str">
        <f>IF(E2&gt;80,"Excellent","Need inprovements")</f>
        <v>Need inprovements</v>
      </c>
      <c r="K2" t="e">
        <f ca="1">ifs(E2&gt;=90,"A",E2&gt;=80,"B",E2&gt;=70,"C",E2&gt;=60,"D",E2&lt;60,"Fail")</f>
        <v>#NAME?</v>
      </c>
      <c r="L2" t="b">
        <f>AND(E2&gt;=60,F2&gt;=75)</f>
        <v>0</v>
      </c>
      <c r="M2" t="b">
        <f>OR(E2&gt;90,F2&gt;90)</f>
        <v>0</v>
      </c>
      <c r="N2" t="str">
        <f>IF(AND(E2&gt;80,F2&gt;80),"Eligible","Not eligible")</f>
        <v>Not eligible</v>
      </c>
      <c r="O2" t="str">
        <f>IF(OR(E2&gt;80,F2&gt;80),"Eligible","Not eligible")</f>
        <v>Not eligible</v>
      </c>
    </row>
    <row r="3" spans="1:18" x14ac:dyDescent="0.35">
      <c r="A3">
        <v>1002</v>
      </c>
      <c r="B3" t="s">
        <v>12</v>
      </c>
      <c r="C3" t="s">
        <v>13</v>
      </c>
      <c r="D3" t="s">
        <v>14</v>
      </c>
      <c r="E3">
        <v>48</v>
      </c>
      <c r="F3">
        <v>65</v>
      </c>
      <c r="G3">
        <v>21750</v>
      </c>
      <c r="H3" t="s">
        <v>15</v>
      </c>
      <c r="I3" t="str">
        <f>IF(Student_Data!E3&gt;=50,"Pass","Fail")</f>
        <v>Fail</v>
      </c>
      <c r="J3" t="str">
        <f t="shared" ref="J3:J31" si="0">IF(E3&gt;80,"Excellent","Need inprovements")</f>
        <v>Need inprovements</v>
      </c>
      <c r="L3" t="b">
        <f t="shared" ref="L3:L31" si="1">AND(E3&gt;=60,F3&gt;=75)</f>
        <v>0</v>
      </c>
      <c r="M3" t="b">
        <f t="shared" ref="M3:M31" si="2">OR(E3&gt;90,F3&gt;90)</f>
        <v>0</v>
      </c>
      <c r="N3" t="str">
        <f t="shared" ref="N3:N31" si="3">IF(AND(E3&gt;80,F3&gt;80),"Eligible","Not eligible")</f>
        <v>Not eligible</v>
      </c>
      <c r="O3" t="str">
        <f t="shared" ref="O3:O31" si="4">IF(OR(E3&gt;80,F3&gt;80),"Eligible","Not eligible")</f>
        <v>Not eligible</v>
      </c>
    </row>
    <row r="4" spans="1:18" x14ac:dyDescent="0.35">
      <c r="A4">
        <v>1003</v>
      </c>
      <c r="B4" t="s">
        <v>16</v>
      </c>
      <c r="C4" t="s">
        <v>17</v>
      </c>
      <c r="D4" t="s">
        <v>18</v>
      </c>
      <c r="E4">
        <v>51</v>
      </c>
      <c r="F4">
        <v>70</v>
      </c>
      <c r="G4">
        <v>23500</v>
      </c>
      <c r="H4" t="s">
        <v>11</v>
      </c>
      <c r="I4" t="str">
        <f>IF(Student_Data!E4&gt;=50,"Pass","Fail")</f>
        <v>Pass</v>
      </c>
      <c r="J4" t="str">
        <f t="shared" si="0"/>
        <v>Need inprovements</v>
      </c>
      <c r="L4" t="b">
        <f t="shared" si="1"/>
        <v>0</v>
      </c>
      <c r="M4" t="b">
        <f t="shared" si="2"/>
        <v>0</v>
      </c>
      <c r="N4" t="str">
        <f t="shared" si="3"/>
        <v>Not eligible</v>
      </c>
      <c r="O4" t="str">
        <f t="shared" si="4"/>
        <v>Not eligible</v>
      </c>
      <c r="Q4" t="s">
        <v>73</v>
      </c>
      <c r="R4">
        <f>SUM(E2:E31)</f>
        <v>2039</v>
      </c>
    </row>
    <row r="5" spans="1:18" x14ac:dyDescent="0.35">
      <c r="A5">
        <v>1004</v>
      </c>
      <c r="B5" t="s">
        <v>19</v>
      </c>
      <c r="C5" t="s">
        <v>9</v>
      </c>
      <c r="D5" t="s">
        <v>20</v>
      </c>
      <c r="E5">
        <v>54</v>
      </c>
      <c r="F5">
        <v>75</v>
      </c>
      <c r="G5">
        <v>25250</v>
      </c>
      <c r="H5" t="s">
        <v>15</v>
      </c>
      <c r="I5" t="str">
        <f>IF(Student_Data!E5&gt;=50,"Pass","Fail")</f>
        <v>Pass</v>
      </c>
      <c r="J5" t="str">
        <f t="shared" si="0"/>
        <v>Need inprovements</v>
      </c>
      <c r="L5" t="b">
        <f t="shared" si="1"/>
        <v>0</v>
      </c>
      <c r="M5" t="b">
        <f t="shared" si="2"/>
        <v>0</v>
      </c>
      <c r="N5" t="str">
        <f t="shared" si="3"/>
        <v>Not eligible</v>
      </c>
      <c r="O5" t="str">
        <f t="shared" si="4"/>
        <v>Not eligible</v>
      </c>
      <c r="Q5" t="s">
        <v>74</v>
      </c>
      <c r="R5">
        <f>AVERAGE(E2:E31)</f>
        <v>67.966666666666669</v>
      </c>
    </row>
    <row r="6" spans="1:18" x14ac:dyDescent="0.35">
      <c r="A6">
        <v>1005</v>
      </c>
      <c r="B6" t="s">
        <v>21</v>
      </c>
      <c r="C6" t="s">
        <v>13</v>
      </c>
      <c r="D6" t="s">
        <v>10</v>
      </c>
      <c r="E6">
        <v>57</v>
      </c>
      <c r="F6">
        <v>80</v>
      </c>
      <c r="G6">
        <v>27000</v>
      </c>
      <c r="H6" t="s">
        <v>11</v>
      </c>
      <c r="I6" t="str">
        <f>IF(Student_Data!E6&gt;=50,"Pass","Fail")</f>
        <v>Pass</v>
      </c>
      <c r="J6" t="str">
        <f t="shared" si="0"/>
        <v>Need inprovements</v>
      </c>
      <c r="L6" t="b">
        <f t="shared" si="1"/>
        <v>0</v>
      </c>
      <c r="M6" t="b">
        <f t="shared" si="2"/>
        <v>0</v>
      </c>
      <c r="N6" t="str">
        <f t="shared" si="3"/>
        <v>Not eligible</v>
      </c>
      <c r="O6" t="str">
        <f t="shared" si="4"/>
        <v>Not eligible</v>
      </c>
      <c r="Q6" t="s">
        <v>75</v>
      </c>
      <c r="R6">
        <f>MAX(E2:E31)</f>
        <v>99</v>
      </c>
    </row>
    <row r="7" spans="1:18" x14ac:dyDescent="0.35">
      <c r="A7">
        <v>1006</v>
      </c>
      <c r="B7" t="s">
        <v>22</v>
      </c>
      <c r="C7" t="s">
        <v>17</v>
      </c>
      <c r="D7" t="s">
        <v>14</v>
      </c>
      <c r="E7">
        <v>60</v>
      </c>
      <c r="F7">
        <v>85</v>
      </c>
      <c r="G7">
        <v>28750</v>
      </c>
      <c r="H7" t="s">
        <v>15</v>
      </c>
      <c r="I7" t="str">
        <f>IF(Student_Data!E7&gt;=50,"Pass","Fail")</f>
        <v>Pass</v>
      </c>
      <c r="J7" t="str">
        <f t="shared" si="0"/>
        <v>Need inprovements</v>
      </c>
      <c r="L7" t="b">
        <f t="shared" si="1"/>
        <v>1</v>
      </c>
      <c r="M7" t="b">
        <f t="shared" si="2"/>
        <v>0</v>
      </c>
      <c r="N7" t="str">
        <f t="shared" si="3"/>
        <v>Not eligible</v>
      </c>
      <c r="O7" t="str">
        <f t="shared" si="4"/>
        <v>Eligible</v>
      </c>
      <c r="Q7" t="s">
        <v>76</v>
      </c>
      <c r="R7">
        <f>MIN(E2:E31)</f>
        <v>45</v>
      </c>
    </row>
    <row r="8" spans="1:18" x14ac:dyDescent="0.35">
      <c r="A8">
        <v>1007</v>
      </c>
      <c r="B8" t="s">
        <v>23</v>
      </c>
      <c r="C8" t="s">
        <v>9</v>
      </c>
      <c r="D8" t="s">
        <v>18</v>
      </c>
      <c r="E8">
        <v>63</v>
      </c>
      <c r="F8">
        <v>90</v>
      </c>
      <c r="G8">
        <v>30500</v>
      </c>
      <c r="H8" t="s">
        <v>11</v>
      </c>
      <c r="I8" t="str">
        <f>IF(Student_Data!E8&gt;=50,"Pass","Fail")</f>
        <v>Pass</v>
      </c>
      <c r="J8" t="str">
        <f t="shared" si="0"/>
        <v>Need inprovements</v>
      </c>
      <c r="L8" t="b">
        <f t="shared" si="1"/>
        <v>1</v>
      </c>
      <c r="M8" t="b">
        <f t="shared" si="2"/>
        <v>0</v>
      </c>
      <c r="N8" t="str">
        <f t="shared" si="3"/>
        <v>Not eligible</v>
      </c>
      <c r="O8" t="str">
        <f t="shared" si="4"/>
        <v>Eligible</v>
      </c>
      <c r="Q8" t="s">
        <v>77</v>
      </c>
      <c r="R8">
        <f>COUNT(E2:E31)</f>
        <v>30</v>
      </c>
    </row>
    <row r="9" spans="1:18" x14ac:dyDescent="0.35">
      <c r="A9">
        <v>1008</v>
      </c>
      <c r="B9" t="s">
        <v>24</v>
      </c>
      <c r="C9" t="s">
        <v>13</v>
      </c>
      <c r="D9" t="s">
        <v>20</v>
      </c>
      <c r="E9">
        <v>66</v>
      </c>
      <c r="F9">
        <v>95</v>
      </c>
      <c r="G9">
        <v>32250</v>
      </c>
      <c r="H9" t="s">
        <v>15</v>
      </c>
      <c r="I9" t="str">
        <f>IF(Student_Data!E9&gt;=50,"Pass","Fail")</f>
        <v>Pass</v>
      </c>
      <c r="J9" t="str">
        <f t="shared" si="0"/>
        <v>Need inprovements</v>
      </c>
      <c r="L9" t="b">
        <f t="shared" si="1"/>
        <v>1</v>
      </c>
      <c r="M9" t="b">
        <f t="shared" si="2"/>
        <v>1</v>
      </c>
      <c r="N9" t="str">
        <f t="shared" si="3"/>
        <v>Not eligible</v>
      </c>
      <c r="O9" t="str">
        <f t="shared" si="4"/>
        <v>Eligible</v>
      </c>
      <c r="Q9" t="s">
        <v>78</v>
      </c>
      <c r="R9">
        <f>COUNTA(E2:E31)</f>
        <v>30</v>
      </c>
    </row>
    <row r="10" spans="1:18" x14ac:dyDescent="0.35">
      <c r="A10">
        <v>1009</v>
      </c>
      <c r="B10" t="s">
        <v>25</v>
      </c>
      <c r="C10" t="s">
        <v>17</v>
      </c>
      <c r="D10" t="s">
        <v>10</v>
      </c>
      <c r="E10">
        <v>69</v>
      </c>
      <c r="F10">
        <v>100</v>
      </c>
      <c r="G10">
        <v>34000</v>
      </c>
      <c r="H10" t="s">
        <v>11</v>
      </c>
      <c r="I10" t="str">
        <f>IF(Student_Data!E10&gt;=50,"Pass","Fail")</f>
        <v>Pass</v>
      </c>
      <c r="J10" t="str">
        <f t="shared" si="0"/>
        <v>Need inprovements</v>
      </c>
      <c r="L10" t="b">
        <f t="shared" si="1"/>
        <v>1</v>
      </c>
      <c r="M10" t="b">
        <f t="shared" si="2"/>
        <v>1</v>
      </c>
      <c r="N10" t="str">
        <f t="shared" si="3"/>
        <v>Not eligible</v>
      </c>
      <c r="O10" t="str">
        <f t="shared" si="4"/>
        <v>Eligible</v>
      </c>
      <c r="Q10" t="s">
        <v>79</v>
      </c>
      <c r="R10">
        <f>COUNTBLANK(F2:F31)</f>
        <v>0</v>
      </c>
    </row>
    <row r="11" spans="1:18" x14ac:dyDescent="0.35">
      <c r="A11">
        <v>1010</v>
      </c>
      <c r="B11" t="s">
        <v>26</v>
      </c>
      <c r="C11" t="s">
        <v>9</v>
      </c>
      <c r="D11" t="s">
        <v>14</v>
      </c>
      <c r="E11">
        <v>72</v>
      </c>
      <c r="F11">
        <v>64</v>
      </c>
      <c r="G11">
        <v>35750</v>
      </c>
      <c r="H11" t="s">
        <v>15</v>
      </c>
      <c r="I11" t="str">
        <f>IF(Student_Data!E11&gt;=50,"Pass","Fail")</f>
        <v>Pass</v>
      </c>
      <c r="J11" t="str">
        <f t="shared" si="0"/>
        <v>Need inprovements</v>
      </c>
      <c r="L11" t="b">
        <f t="shared" si="1"/>
        <v>0</v>
      </c>
      <c r="M11" t="b">
        <f t="shared" si="2"/>
        <v>0</v>
      </c>
      <c r="N11" t="str">
        <f t="shared" si="3"/>
        <v>Not eligible</v>
      </c>
      <c r="O11" t="str">
        <f t="shared" si="4"/>
        <v>Not eligible</v>
      </c>
      <c r="Q11" t="s">
        <v>80</v>
      </c>
      <c r="R11">
        <f>COUNTIF(E2:E31,"&gt;80")</f>
        <v>7</v>
      </c>
    </row>
    <row r="12" spans="1:18" x14ac:dyDescent="0.35">
      <c r="A12">
        <v>1011</v>
      </c>
      <c r="B12" t="s">
        <v>27</v>
      </c>
      <c r="C12" t="s">
        <v>13</v>
      </c>
      <c r="D12" t="s">
        <v>18</v>
      </c>
      <c r="E12">
        <v>75</v>
      </c>
      <c r="F12">
        <v>69</v>
      </c>
      <c r="G12">
        <v>37500</v>
      </c>
      <c r="H12" t="s">
        <v>11</v>
      </c>
      <c r="I12" t="str">
        <f>IF(Student_Data!E12&gt;=50,"Pass","Fail")</f>
        <v>Pass</v>
      </c>
      <c r="J12" t="str">
        <f t="shared" si="0"/>
        <v>Need inprovements</v>
      </c>
      <c r="L12" t="b">
        <f t="shared" si="1"/>
        <v>0</v>
      </c>
      <c r="M12" t="b">
        <f t="shared" si="2"/>
        <v>0</v>
      </c>
      <c r="N12" t="str">
        <f t="shared" si="3"/>
        <v>Not eligible</v>
      </c>
      <c r="O12" t="str">
        <f t="shared" si="4"/>
        <v>Not eligible</v>
      </c>
      <c r="Q12" t="s">
        <v>81</v>
      </c>
      <c r="R12">
        <f>COUNTIF(C2:C31,"Pune")</f>
        <v>10</v>
      </c>
    </row>
    <row r="13" spans="1:18" x14ac:dyDescent="0.35">
      <c r="A13">
        <v>1012</v>
      </c>
      <c r="B13" t="s">
        <v>28</v>
      </c>
      <c r="C13" t="s">
        <v>17</v>
      </c>
      <c r="D13" t="s">
        <v>20</v>
      </c>
      <c r="E13">
        <v>78</v>
      </c>
      <c r="F13">
        <v>74</v>
      </c>
      <c r="G13">
        <v>39250</v>
      </c>
      <c r="H13" t="s">
        <v>15</v>
      </c>
      <c r="I13" t="str">
        <f>IF(Student_Data!E13&gt;=50,"Pass","Fail")</f>
        <v>Pass</v>
      </c>
      <c r="J13" t="str">
        <f t="shared" si="0"/>
        <v>Need inprovements</v>
      </c>
      <c r="L13" t="b">
        <f t="shared" si="1"/>
        <v>0</v>
      </c>
      <c r="M13" t="b">
        <f t="shared" si="2"/>
        <v>0</v>
      </c>
      <c r="N13" t="str">
        <f t="shared" si="3"/>
        <v>Not eligible</v>
      </c>
      <c r="O13" t="str">
        <f t="shared" si="4"/>
        <v>Not eligible</v>
      </c>
      <c r="Q13" t="s">
        <v>10</v>
      </c>
      <c r="R13">
        <f>COUNTIF(D2:D31,"DA")</f>
        <v>8</v>
      </c>
    </row>
    <row r="14" spans="1:18" x14ac:dyDescent="0.35">
      <c r="A14">
        <v>1013</v>
      </c>
      <c r="B14" t="s">
        <v>29</v>
      </c>
      <c r="C14" t="s">
        <v>9</v>
      </c>
      <c r="D14" t="s">
        <v>10</v>
      </c>
      <c r="E14">
        <v>81</v>
      </c>
      <c r="F14">
        <v>79</v>
      </c>
      <c r="G14">
        <v>41000</v>
      </c>
      <c r="H14" t="s">
        <v>11</v>
      </c>
      <c r="I14" t="str">
        <f>IF(Student_Data!E14&gt;=50,"Pass","Fail")</f>
        <v>Pass</v>
      </c>
      <c r="J14" t="str">
        <f t="shared" si="0"/>
        <v>Excellent</v>
      </c>
      <c r="L14" t="b">
        <f t="shared" si="1"/>
        <v>1</v>
      </c>
      <c r="M14" t="b">
        <f t="shared" si="2"/>
        <v>0</v>
      </c>
      <c r="N14" t="str">
        <f t="shared" si="3"/>
        <v>Not eligible</v>
      </c>
      <c r="O14" t="str">
        <f t="shared" si="4"/>
        <v>Eligible</v>
      </c>
      <c r="Q14" t="s">
        <v>82</v>
      </c>
      <c r="R14">
        <f>COUNTIFS(E2:E31,"&gt;70",F2:F31,"&gt;80")</f>
        <v>5</v>
      </c>
    </row>
    <row r="15" spans="1:18" x14ac:dyDescent="0.35">
      <c r="A15">
        <v>1014</v>
      </c>
      <c r="B15" t="s">
        <v>30</v>
      </c>
      <c r="C15" t="s">
        <v>13</v>
      </c>
      <c r="D15" t="s">
        <v>14</v>
      </c>
      <c r="E15">
        <v>84</v>
      </c>
      <c r="F15">
        <v>84</v>
      </c>
      <c r="G15">
        <v>42750</v>
      </c>
      <c r="H15" t="s">
        <v>15</v>
      </c>
      <c r="I15" t="str">
        <f>IF(Student_Data!E15&gt;=50,"Pass","Fail")</f>
        <v>Pass</v>
      </c>
      <c r="J15" t="str">
        <f t="shared" si="0"/>
        <v>Excellent</v>
      </c>
      <c r="L15" t="b">
        <f t="shared" si="1"/>
        <v>1</v>
      </c>
      <c r="M15" t="b">
        <f t="shared" si="2"/>
        <v>0</v>
      </c>
      <c r="N15" t="str">
        <f t="shared" si="3"/>
        <v>Eligible</v>
      </c>
      <c r="O15" t="str">
        <f t="shared" si="4"/>
        <v>Eligible</v>
      </c>
      <c r="Q15" t="s">
        <v>83</v>
      </c>
      <c r="R15">
        <f>COUNTIFS(H2:H31,"Female",C2:C31,C30)</f>
        <v>5</v>
      </c>
    </row>
    <row r="16" spans="1:18" x14ac:dyDescent="0.35">
      <c r="A16">
        <v>1015</v>
      </c>
      <c r="B16" t="s">
        <v>31</v>
      </c>
      <c r="C16" t="s">
        <v>17</v>
      </c>
      <c r="D16" t="s">
        <v>18</v>
      </c>
      <c r="E16">
        <v>87</v>
      </c>
      <c r="F16">
        <v>89</v>
      </c>
      <c r="G16">
        <v>44500</v>
      </c>
      <c r="H16" t="s">
        <v>11</v>
      </c>
      <c r="I16" t="str">
        <f>IF(Student_Data!E16&gt;=50,"Pass","Fail")</f>
        <v>Pass</v>
      </c>
      <c r="J16" t="str">
        <f t="shared" si="0"/>
        <v>Excellent</v>
      </c>
      <c r="L16" t="b">
        <f t="shared" si="1"/>
        <v>1</v>
      </c>
      <c r="M16" t="b">
        <f t="shared" si="2"/>
        <v>0</v>
      </c>
      <c r="N16" t="str">
        <f t="shared" si="3"/>
        <v>Eligible</v>
      </c>
      <c r="O16" t="str">
        <f t="shared" si="4"/>
        <v>Eligible</v>
      </c>
      <c r="Q16" t="s">
        <v>84</v>
      </c>
      <c r="R16">
        <f>SUMIF(C2:C31,C29,G2:G31)</f>
        <v>316246</v>
      </c>
    </row>
    <row r="17" spans="1:18" x14ac:dyDescent="0.35">
      <c r="A17">
        <v>1016</v>
      </c>
      <c r="B17" t="s">
        <v>32</v>
      </c>
      <c r="C17" t="s">
        <v>9</v>
      </c>
      <c r="D17" t="s">
        <v>20</v>
      </c>
      <c r="E17">
        <v>90</v>
      </c>
      <c r="F17">
        <v>94</v>
      </c>
      <c r="G17">
        <v>46250</v>
      </c>
      <c r="H17" t="s">
        <v>15</v>
      </c>
      <c r="I17" t="str">
        <f>IF(Student_Data!E17&gt;=50,"Pass","Fail")</f>
        <v>Pass</v>
      </c>
      <c r="J17" t="str">
        <f t="shared" si="0"/>
        <v>Excellent</v>
      </c>
      <c r="L17" t="b">
        <f t="shared" si="1"/>
        <v>1</v>
      </c>
      <c r="M17" t="b">
        <f t="shared" si="2"/>
        <v>1</v>
      </c>
      <c r="N17" t="str">
        <f t="shared" si="3"/>
        <v>Eligible</v>
      </c>
      <c r="O17" t="str">
        <f t="shared" si="4"/>
        <v>Eligible</v>
      </c>
      <c r="Q17" t="s">
        <v>85</v>
      </c>
      <c r="R17">
        <f>SUMIF(D2:D31,D31,G2:G31)</f>
        <v>279997</v>
      </c>
    </row>
    <row r="18" spans="1:18" x14ac:dyDescent="0.35">
      <c r="A18">
        <v>1017</v>
      </c>
      <c r="B18" t="s">
        <v>33</v>
      </c>
      <c r="C18" t="s">
        <v>13</v>
      </c>
      <c r="D18" t="s">
        <v>10</v>
      </c>
      <c r="E18">
        <v>93</v>
      </c>
      <c r="F18">
        <v>99</v>
      </c>
      <c r="G18">
        <v>48000</v>
      </c>
      <c r="H18" t="s">
        <v>11</v>
      </c>
      <c r="I18" t="str">
        <f>IF(Student_Data!E18&gt;=50,"Pass","Fail")</f>
        <v>Pass</v>
      </c>
      <c r="J18" t="str">
        <f t="shared" si="0"/>
        <v>Excellent</v>
      </c>
      <c r="L18" t="b">
        <f t="shared" si="1"/>
        <v>1</v>
      </c>
      <c r="M18" t="b">
        <f t="shared" si="2"/>
        <v>1</v>
      </c>
      <c r="N18" t="str">
        <f t="shared" si="3"/>
        <v>Eligible</v>
      </c>
      <c r="O18" t="str">
        <f t="shared" si="4"/>
        <v>Eligible</v>
      </c>
      <c r="Q18" t="s">
        <v>86</v>
      </c>
      <c r="R18">
        <f>SUMIFS(G2:G31,C2:C31,C29,D2:D31,D30)</f>
        <v>92999</v>
      </c>
    </row>
    <row r="19" spans="1:18" x14ac:dyDescent="0.35">
      <c r="A19">
        <v>1018</v>
      </c>
      <c r="B19" t="s">
        <v>34</v>
      </c>
      <c r="C19" t="s">
        <v>17</v>
      </c>
      <c r="D19" t="s">
        <v>14</v>
      </c>
      <c r="E19">
        <v>96</v>
      </c>
      <c r="F19">
        <v>63</v>
      </c>
      <c r="G19">
        <v>49750</v>
      </c>
      <c r="H19" t="s">
        <v>15</v>
      </c>
      <c r="I19" t="str">
        <f>IF(Student_Data!E19&gt;=50,"Pass","Fail")</f>
        <v>Pass</v>
      </c>
      <c r="J19" t="str">
        <f t="shared" si="0"/>
        <v>Excellent</v>
      </c>
      <c r="L19" t="b">
        <f t="shared" si="1"/>
        <v>0</v>
      </c>
      <c r="M19" t="b">
        <f t="shared" si="2"/>
        <v>1</v>
      </c>
      <c r="N19" t="str">
        <f t="shared" si="3"/>
        <v>Not eligible</v>
      </c>
      <c r="O19" t="str">
        <f t="shared" si="4"/>
        <v>Eligible</v>
      </c>
      <c r="Q19" t="s">
        <v>87</v>
      </c>
      <c r="R19">
        <f>SUMIFS(Student_Data!G2:G31,Student_Data!E2:E31,"&gt;=75",F2:F31,"&gt;=80")</f>
        <v>222249</v>
      </c>
    </row>
    <row r="20" spans="1:18" x14ac:dyDescent="0.35">
      <c r="A20">
        <v>1019</v>
      </c>
      <c r="B20" t="s">
        <v>35</v>
      </c>
      <c r="C20" t="s">
        <v>9</v>
      </c>
      <c r="D20" t="s">
        <v>18</v>
      </c>
      <c r="E20">
        <v>99</v>
      </c>
      <c r="F20">
        <v>68</v>
      </c>
      <c r="G20">
        <v>21499</v>
      </c>
      <c r="H20" t="s">
        <v>11</v>
      </c>
      <c r="I20" t="str">
        <f>IF(Student_Data!E20&gt;=50,"Pass","Fail")</f>
        <v>Pass</v>
      </c>
      <c r="J20" t="str">
        <f t="shared" si="0"/>
        <v>Excellent</v>
      </c>
      <c r="L20" t="b">
        <f t="shared" si="1"/>
        <v>0</v>
      </c>
      <c r="M20" t="b">
        <f t="shared" si="2"/>
        <v>1</v>
      </c>
      <c r="N20" t="str">
        <f t="shared" si="3"/>
        <v>Not eligible</v>
      </c>
      <c r="O20" t="str">
        <f t="shared" si="4"/>
        <v>Eligible</v>
      </c>
      <c r="Q20" t="s">
        <v>95</v>
      </c>
      <c r="R20">
        <f>AVERAGEIF(C2:C31,C29,G2:G31)</f>
        <v>31624.6</v>
      </c>
    </row>
    <row r="21" spans="1:18" x14ac:dyDescent="0.35">
      <c r="A21">
        <v>1020</v>
      </c>
      <c r="B21" t="s">
        <v>36</v>
      </c>
      <c r="C21" t="s">
        <v>13</v>
      </c>
      <c r="D21" t="s">
        <v>20</v>
      </c>
      <c r="E21">
        <v>46</v>
      </c>
      <c r="F21">
        <v>73</v>
      </c>
      <c r="G21">
        <v>23249</v>
      </c>
      <c r="H21" t="s">
        <v>15</v>
      </c>
      <c r="I21" t="str">
        <f>IF(Student_Data!E21&gt;=50,"Pass","Fail")</f>
        <v>Fail</v>
      </c>
      <c r="J21" t="str">
        <f t="shared" si="0"/>
        <v>Need inprovements</v>
      </c>
      <c r="L21" t="b">
        <f t="shared" si="1"/>
        <v>0</v>
      </c>
      <c r="M21" t="b">
        <f t="shared" si="2"/>
        <v>0</v>
      </c>
      <c r="N21" t="str">
        <f t="shared" si="3"/>
        <v>Not eligible</v>
      </c>
      <c r="O21" t="str">
        <f t="shared" si="4"/>
        <v>Not eligible</v>
      </c>
      <c r="Q21" t="s">
        <v>96</v>
      </c>
      <c r="R21">
        <f>AVERAGEIF(D2:D31,D30,E2:E31)</f>
        <v>66</v>
      </c>
    </row>
    <row r="22" spans="1:18" x14ac:dyDescent="0.35">
      <c r="A22">
        <v>1021</v>
      </c>
      <c r="B22" t="s">
        <v>37</v>
      </c>
      <c r="C22" t="s">
        <v>17</v>
      </c>
      <c r="D22" t="s">
        <v>10</v>
      </c>
      <c r="E22">
        <v>49</v>
      </c>
      <c r="F22">
        <v>78</v>
      </c>
      <c r="G22">
        <v>24999</v>
      </c>
      <c r="H22" t="s">
        <v>11</v>
      </c>
      <c r="I22" t="str">
        <f>IF(Student_Data!E22&gt;=50,"Pass","Fail")</f>
        <v>Fail</v>
      </c>
      <c r="J22" t="str">
        <f t="shared" si="0"/>
        <v>Need inprovements</v>
      </c>
      <c r="L22" t="b">
        <f t="shared" si="1"/>
        <v>0</v>
      </c>
      <c r="M22" t="b">
        <f t="shared" si="2"/>
        <v>0</v>
      </c>
      <c r="N22" t="str">
        <f t="shared" si="3"/>
        <v>Not eligible</v>
      </c>
      <c r="O22" t="str">
        <f t="shared" si="4"/>
        <v>Not eligible</v>
      </c>
    </row>
    <row r="23" spans="1:18" x14ac:dyDescent="0.35">
      <c r="A23">
        <v>1022</v>
      </c>
      <c r="B23" t="s">
        <v>38</v>
      </c>
      <c r="C23" t="s">
        <v>9</v>
      </c>
      <c r="D23" t="s">
        <v>14</v>
      </c>
      <c r="E23">
        <v>52</v>
      </c>
      <c r="F23">
        <v>83</v>
      </c>
      <c r="G23">
        <v>26749</v>
      </c>
      <c r="H23" t="s">
        <v>15</v>
      </c>
      <c r="I23" t="str">
        <f>IF(Student_Data!E23&gt;=50,"Pass","Fail")</f>
        <v>Pass</v>
      </c>
      <c r="J23" t="str">
        <f t="shared" si="0"/>
        <v>Need inprovements</v>
      </c>
      <c r="L23" t="b">
        <f t="shared" si="1"/>
        <v>0</v>
      </c>
      <c r="M23" t="b">
        <f t="shared" si="2"/>
        <v>0</v>
      </c>
      <c r="N23" t="str">
        <f t="shared" si="3"/>
        <v>Not eligible</v>
      </c>
      <c r="O23" t="str">
        <f t="shared" si="4"/>
        <v>Eligible</v>
      </c>
    </row>
    <row r="24" spans="1:18" x14ac:dyDescent="0.35">
      <c r="A24">
        <v>1023</v>
      </c>
      <c r="B24" t="s">
        <v>39</v>
      </c>
      <c r="C24" t="s">
        <v>13</v>
      </c>
      <c r="D24" t="s">
        <v>18</v>
      </c>
      <c r="E24">
        <v>55</v>
      </c>
      <c r="F24">
        <v>88</v>
      </c>
      <c r="G24">
        <v>28499</v>
      </c>
      <c r="H24" t="s">
        <v>11</v>
      </c>
      <c r="I24" t="str">
        <f>IF(Student_Data!E24&gt;=50,"Pass","Fail")</f>
        <v>Pass</v>
      </c>
      <c r="J24" t="str">
        <f t="shared" si="0"/>
        <v>Need inprovements</v>
      </c>
      <c r="L24" t="b">
        <f t="shared" si="1"/>
        <v>0</v>
      </c>
      <c r="M24" t="b">
        <f t="shared" si="2"/>
        <v>0</v>
      </c>
      <c r="N24" t="str">
        <f t="shared" si="3"/>
        <v>Not eligible</v>
      </c>
      <c r="O24" t="str">
        <f t="shared" si="4"/>
        <v>Eligible</v>
      </c>
    </row>
    <row r="25" spans="1:18" x14ac:dyDescent="0.35">
      <c r="A25">
        <v>1024</v>
      </c>
      <c r="B25" t="s">
        <v>40</v>
      </c>
      <c r="C25" t="s">
        <v>17</v>
      </c>
      <c r="D25" t="s">
        <v>20</v>
      </c>
      <c r="E25">
        <v>58</v>
      </c>
      <c r="F25">
        <v>93</v>
      </c>
      <c r="G25">
        <v>30249</v>
      </c>
      <c r="H25" t="s">
        <v>15</v>
      </c>
      <c r="I25" t="str">
        <f>IF(Student_Data!E25&gt;=50,"Pass","Fail")</f>
        <v>Pass</v>
      </c>
      <c r="J25" t="str">
        <f t="shared" si="0"/>
        <v>Need inprovements</v>
      </c>
      <c r="L25" t="b">
        <f t="shared" si="1"/>
        <v>0</v>
      </c>
      <c r="M25" t="b">
        <f t="shared" si="2"/>
        <v>1</v>
      </c>
      <c r="N25" t="str">
        <f t="shared" si="3"/>
        <v>Not eligible</v>
      </c>
      <c r="O25" t="str">
        <f t="shared" si="4"/>
        <v>Eligible</v>
      </c>
    </row>
    <row r="26" spans="1:18" x14ac:dyDescent="0.35">
      <c r="A26">
        <v>1025</v>
      </c>
      <c r="B26" t="s">
        <v>41</v>
      </c>
      <c r="C26" t="s">
        <v>9</v>
      </c>
      <c r="D26" t="s">
        <v>10</v>
      </c>
      <c r="E26">
        <v>61</v>
      </c>
      <c r="F26">
        <v>98</v>
      </c>
      <c r="G26">
        <v>31999</v>
      </c>
      <c r="H26" t="s">
        <v>11</v>
      </c>
      <c r="I26" t="str">
        <f>IF(Student_Data!E26&gt;=50,"Pass","Fail")</f>
        <v>Pass</v>
      </c>
      <c r="J26" t="str">
        <f t="shared" si="0"/>
        <v>Need inprovements</v>
      </c>
      <c r="L26" t="b">
        <f t="shared" si="1"/>
        <v>1</v>
      </c>
      <c r="M26" t="b">
        <f t="shared" si="2"/>
        <v>1</v>
      </c>
      <c r="N26" t="str">
        <f t="shared" si="3"/>
        <v>Not eligible</v>
      </c>
      <c r="O26" t="str">
        <f t="shared" si="4"/>
        <v>Eligible</v>
      </c>
    </row>
    <row r="27" spans="1:18" x14ac:dyDescent="0.35">
      <c r="A27">
        <v>1026</v>
      </c>
      <c r="B27" t="s">
        <v>42</v>
      </c>
      <c r="C27" t="s">
        <v>13</v>
      </c>
      <c r="D27" t="s">
        <v>14</v>
      </c>
      <c r="E27">
        <v>64</v>
      </c>
      <c r="F27">
        <v>62</v>
      </c>
      <c r="G27">
        <v>33749</v>
      </c>
      <c r="H27" t="s">
        <v>15</v>
      </c>
      <c r="I27" t="str">
        <f>IF(Student_Data!E27&gt;=50,"Pass","Fail")</f>
        <v>Pass</v>
      </c>
      <c r="J27" t="str">
        <f t="shared" si="0"/>
        <v>Need inprovements</v>
      </c>
      <c r="L27" t="b">
        <f t="shared" si="1"/>
        <v>0</v>
      </c>
      <c r="M27" t="b">
        <f t="shared" si="2"/>
        <v>0</v>
      </c>
      <c r="N27" t="str">
        <f t="shared" si="3"/>
        <v>Not eligible</v>
      </c>
      <c r="O27" t="str">
        <f t="shared" si="4"/>
        <v>Not eligible</v>
      </c>
    </row>
    <row r="28" spans="1:18" x14ac:dyDescent="0.35">
      <c r="A28">
        <v>1027</v>
      </c>
      <c r="B28" t="s">
        <v>43</v>
      </c>
      <c r="C28" t="s">
        <v>17</v>
      </c>
      <c r="D28" t="s">
        <v>18</v>
      </c>
      <c r="E28">
        <v>67</v>
      </c>
      <c r="F28">
        <v>67</v>
      </c>
      <c r="G28">
        <v>35499</v>
      </c>
      <c r="H28" t="s">
        <v>11</v>
      </c>
      <c r="I28" t="str">
        <f>IF(Student_Data!E28&gt;=50,"Pass","Fail")</f>
        <v>Pass</v>
      </c>
      <c r="J28" t="str">
        <f t="shared" si="0"/>
        <v>Need inprovements</v>
      </c>
      <c r="L28" t="b">
        <f t="shared" si="1"/>
        <v>0</v>
      </c>
      <c r="M28" t="b">
        <f t="shared" si="2"/>
        <v>0</v>
      </c>
      <c r="N28" t="str">
        <f t="shared" si="3"/>
        <v>Not eligible</v>
      </c>
      <c r="O28" t="str">
        <f t="shared" si="4"/>
        <v>Not eligible</v>
      </c>
    </row>
    <row r="29" spans="1:18" x14ac:dyDescent="0.35">
      <c r="A29">
        <v>1028</v>
      </c>
      <c r="B29" t="s">
        <v>44</v>
      </c>
      <c r="C29" t="s">
        <v>9</v>
      </c>
      <c r="D29" t="s">
        <v>20</v>
      </c>
      <c r="E29">
        <v>70</v>
      </c>
      <c r="F29">
        <v>72</v>
      </c>
      <c r="G29">
        <v>37249</v>
      </c>
      <c r="H29" t="s">
        <v>15</v>
      </c>
      <c r="I29" t="str">
        <f>IF(Student_Data!E29&gt;=50,"Pass","Fail")</f>
        <v>Pass</v>
      </c>
      <c r="J29" t="str">
        <f t="shared" si="0"/>
        <v>Need inprovements</v>
      </c>
      <c r="L29" t="b">
        <f t="shared" si="1"/>
        <v>0</v>
      </c>
      <c r="M29" t="b">
        <f t="shared" si="2"/>
        <v>0</v>
      </c>
      <c r="N29" t="str">
        <f t="shared" si="3"/>
        <v>Not eligible</v>
      </c>
      <c r="O29" t="str">
        <f t="shared" si="4"/>
        <v>Not eligible</v>
      </c>
    </row>
    <row r="30" spans="1:18" x14ac:dyDescent="0.35">
      <c r="A30">
        <v>1029</v>
      </c>
      <c r="B30" t="s">
        <v>45</v>
      </c>
      <c r="C30" t="s">
        <v>13</v>
      </c>
      <c r="D30" t="s">
        <v>10</v>
      </c>
      <c r="E30">
        <v>73</v>
      </c>
      <c r="F30">
        <v>77</v>
      </c>
      <c r="G30">
        <v>38999</v>
      </c>
      <c r="H30" t="s">
        <v>11</v>
      </c>
      <c r="I30" t="str">
        <f>IF(Student_Data!E30&gt;=50,"Pass","Fail")</f>
        <v>Pass</v>
      </c>
      <c r="J30" t="str">
        <f t="shared" si="0"/>
        <v>Need inprovements</v>
      </c>
      <c r="L30" t="b">
        <f t="shared" si="1"/>
        <v>1</v>
      </c>
      <c r="M30" t="b">
        <f t="shared" si="2"/>
        <v>0</v>
      </c>
      <c r="N30" t="str">
        <f t="shared" si="3"/>
        <v>Not eligible</v>
      </c>
      <c r="O30" t="str">
        <f t="shared" si="4"/>
        <v>Not eligible</v>
      </c>
    </row>
    <row r="31" spans="1:18" x14ac:dyDescent="0.35">
      <c r="A31">
        <v>1030</v>
      </c>
      <c r="B31" t="s">
        <v>46</v>
      </c>
      <c r="C31" t="s">
        <v>17</v>
      </c>
      <c r="D31" t="s">
        <v>14</v>
      </c>
      <c r="E31">
        <v>76</v>
      </c>
      <c r="F31">
        <v>82</v>
      </c>
      <c r="G31">
        <v>40749</v>
      </c>
      <c r="H31" t="s">
        <v>15</v>
      </c>
      <c r="I31" t="str">
        <f>IF(Student_Data!E31&gt;=50,"Pass","Fail")</f>
        <v>Pass</v>
      </c>
      <c r="J31" t="str">
        <f t="shared" si="0"/>
        <v>Need inprovements</v>
      </c>
      <c r="L31" t="b">
        <f t="shared" si="1"/>
        <v>1</v>
      </c>
      <c r="M31" t="b">
        <f t="shared" si="2"/>
        <v>0</v>
      </c>
      <c r="N31" t="str">
        <f t="shared" si="3"/>
        <v>Not eligible</v>
      </c>
      <c r="O31" t="str">
        <f t="shared" si="4"/>
        <v>Eligible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10" workbookViewId="0">
      <selection activeCell="F23" sqref="F23"/>
    </sheetView>
  </sheetViews>
  <sheetFormatPr defaultRowHeight="14.5" x14ac:dyDescent="0.35"/>
  <sheetData>
    <row r="1" spans="1:11" x14ac:dyDescent="0.35">
      <c r="A1" s="1" t="s">
        <v>47</v>
      </c>
    </row>
    <row r="2" spans="1:11" x14ac:dyDescent="0.35">
      <c r="A2" t="s">
        <v>48</v>
      </c>
    </row>
    <row r="3" spans="1:11" x14ac:dyDescent="0.35">
      <c r="A3" t="s">
        <v>49</v>
      </c>
    </row>
    <row r="4" spans="1:11" x14ac:dyDescent="0.35">
      <c r="A4" t="s">
        <v>50</v>
      </c>
    </row>
    <row r="5" spans="1:11" x14ac:dyDescent="0.35">
      <c r="A5" t="s">
        <v>51</v>
      </c>
    </row>
    <row r="6" spans="1:11" x14ac:dyDescent="0.35">
      <c r="A6" t="s">
        <v>52</v>
      </c>
    </row>
    <row r="7" spans="1:11" x14ac:dyDescent="0.35">
      <c r="A7" t="s">
        <v>53</v>
      </c>
    </row>
    <row r="8" spans="1:11" x14ac:dyDescent="0.35">
      <c r="A8" t="s">
        <v>54</v>
      </c>
    </row>
    <row r="9" spans="1:11" x14ac:dyDescent="0.35">
      <c r="A9" t="s">
        <v>55</v>
      </c>
    </row>
    <row r="10" spans="1:11" x14ac:dyDescent="0.35">
      <c r="A10" t="s">
        <v>56</v>
      </c>
    </row>
    <row r="11" spans="1:11" x14ac:dyDescent="0.35">
      <c r="A11" t="s">
        <v>57</v>
      </c>
      <c r="K11">
        <f>COUNTIF(E2:E31,Practice_Tasks!A9:E9+Practice_Tasks!E9)</f>
        <v>0</v>
      </c>
    </row>
    <row r="12" spans="1:11" x14ac:dyDescent="0.35">
      <c r="A12" t="s">
        <v>58</v>
      </c>
    </row>
    <row r="13" spans="1:11" x14ac:dyDescent="0.35">
      <c r="A13" t="s">
        <v>59</v>
      </c>
    </row>
    <row r="14" spans="1:11" x14ac:dyDescent="0.35">
      <c r="A14" t="s">
        <v>60</v>
      </c>
    </row>
    <row r="15" spans="1:11" x14ac:dyDescent="0.35">
      <c r="A15" t="s">
        <v>61</v>
      </c>
    </row>
    <row r="16" spans="1:11" x14ac:dyDescent="0.35">
      <c r="A16" t="s">
        <v>62</v>
      </c>
    </row>
    <row r="17" spans="1:1" x14ac:dyDescent="0.35">
      <c r="A17" t="s">
        <v>63</v>
      </c>
    </row>
    <row r="18" spans="1:1" x14ac:dyDescent="0.35">
      <c r="A18" t="s">
        <v>64</v>
      </c>
    </row>
    <row r="19" spans="1:1" x14ac:dyDescent="0.35">
      <c r="A19" t="s">
        <v>65</v>
      </c>
    </row>
    <row r="20" spans="1:1" x14ac:dyDescent="0.35">
      <c r="A20" t="s">
        <v>66</v>
      </c>
    </row>
    <row r="21" spans="1:1" x14ac:dyDescent="0.35">
      <c r="A21" t="s">
        <v>67</v>
      </c>
    </row>
    <row r="22" spans="1:1" x14ac:dyDescent="0.35">
      <c r="A22" t="s">
        <v>68</v>
      </c>
    </row>
    <row r="23" spans="1:1" x14ac:dyDescent="0.35">
      <c r="A23" t="s">
        <v>69</v>
      </c>
    </row>
    <row r="24" spans="1:1" x14ac:dyDescent="0.35">
      <c r="A24" t="s">
        <v>70</v>
      </c>
    </row>
    <row r="25" spans="1:1" x14ac:dyDescent="0.35">
      <c r="A25" t="s">
        <v>71</v>
      </c>
    </row>
    <row r="26" spans="1:1" x14ac:dyDescent="0.35">
      <c r="A2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Student_Data</vt:lpstr>
      <vt:lpstr>Practice_Tasks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2026-06-29T10:44:11Z</dcterms:created>
  <dcterms:modified xsi:type="dcterms:W3CDTF">2026-06-29T13:19:40Z</dcterms:modified>
</cp:coreProperties>
</file>