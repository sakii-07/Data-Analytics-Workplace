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20001_{F662FA6C-4FF7-440E-B89A-3E3F47DAA83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 Data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<sst xmlns="http://schemas.openxmlformats.org/spreadsheetml/2006/main" count="714" uniqueCount="163">
  <si>
    <t>Branches</t>
  </si>
  <si>
    <t>Source Name</t>
  </si>
  <si>
    <t>Status</t>
  </si>
  <si>
    <t>College Name</t>
  </si>
  <si>
    <t>Student Name</t>
  </si>
  <si>
    <t>Admission Date</t>
  </si>
  <si>
    <t>Enrolled By</t>
  </si>
  <si>
    <t>Total Fee</t>
  </si>
  <si>
    <t>Remaining Fee</t>
  </si>
  <si>
    <t>Course Name</t>
  </si>
  <si>
    <t>Student Age</t>
  </si>
  <si>
    <t>Nashik</t>
  </si>
  <si>
    <t>Facebook Ads</t>
  </si>
  <si>
    <t>Admitted</t>
  </si>
  <si>
    <t>JSPM Rajarshi Shahu College of Engineering, Pune</t>
  </si>
  <si>
    <t>Krishna Kale</t>
  </si>
  <si>
    <t>Himani</t>
  </si>
  <si>
    <t>MERN Stack</t>
  </si>
  <si>
    <t>Nagpur</t>
  </si>
  <si>
    <t>Referral</t>
  </si>
  <si>
    <t>D.Y. Patil College of Engineering, Akurdi</t>
  </si>
  <si>
    <t>Pooja Patil</t>
  </si>
  <si>
    <t>Tanuja</t>
  </si>
  <si>
    <t>Data Analytics</t>
  </si>
  <si>
    <t>Pune - Hadapsar</t>
  </si>
  <si>
    <t>Google Search</t>
  </si>
  <si>
    <t>Closed</t>
  </si>
  <si>
    <t>Prof Ram Meghe College of Engineering, Amravati</t>
  </si>
  <si>
    <t>Kavya Kadam</t>
  </si>
  <si>
    <t>Pragati</t>
  </si>
  <si>
    <t>Python Full Stack</t>
  </si>
  <si>
    <t>WhatsApp Campaign</t>
  </si>
  <si>
    <t>Active Lead</t>
  </si>
  <si>
    <t>Sinhgad College of Engineering, Pune</t>
  </si>
  <si>
    <t>Rohan Sharma</t>
  </si>
  <si>
    <t>Pune - Kothrud</t>
  </si>
  <si>
    <t>Modern College of Engineering, Pune</t>
  </si>
  <si>
    <t>Ishaan Jadhav</t>
  </si>
  <si>
    <t>Ishwari</t>
  </si>
  <si>
    <t>Pune - Wakad</t>
  </si>
  <si>
    <t>Walk-in</t>
  </si>
  <si>
    <t>Sanjay Ghodawat University, Kolhapur</t>
  </si>
  <si>
    <t>Mira Chavan</t>
  </si>
  <si>
    <t>Renuka</t>
  </si>
  <si>
    <t>Data Science</t>
  </si>
  <si>
    <t>Payment Pending</t>
  </si>
  <si>
    <t>A.G. Patil Institute of Technology, Solapur</t>
  </si>
  <si>
    <t>Pratik Pawar</t>
  </si>
  <si>
    <t>Admin Team</t>
  </si>
  <si>
    <t>Instagram Ads</t>
  </si>
  <si>
    <t>Anaya Sharma</t>
  </si>
  <si>
    <t>Mumbai</t>
  </si>
  <si>
    <t>Pratik Dighe</t>
  </si>
  <si>
    <t>Software Testing</t>
  </si>
  <si>
    <t>YouTube</t>
  </si>
  <si>
    <t>Follow-up</t>
  </si>
  <si>
    <t>Sneha Bhosale</t>
  </si>
  <si>
    <t>Arjun Kale</t>
  </si>
  <si>
    <t>Riya Patil</t>
  </si>
  <si>
    <t>React JS</t>
  </si>
  <si>
    <t>Rahul Kulkarni</t>
  </si>
  <si>
    <t>MIT Academy of Engineering, Alandi</t>
  </si>
  <si>
    <t>Diya Pawar</t>
  </si>
  <si>
    <t>Java + Testing + React</t>
  </si>
  <si>
    <t>SVERI College of Engineering, Pandharpur</t>
  </si>
  <si>
    <t>Vivaan Joshi</t>
  </si>
  <si>
    <t>Reyansh Kulkarni</t>
  </si>
  <si>
    <t>Renuka Suryawanshi</t>
  </si>
  <si>
    <t>Krishna Patil</t>
  </si>
  <si>
    <t>Java Full Stack</t>
  </si>
  <si>
    <t>Sanket Dighe</t>
  </si>
  <si>
    <t>Anuradha Engineering College, Chikhli</t>
  </si>
  <si>
    <t>Arjun Bhosale</t>
  </si>
  <si>
    <t>Online</t>
  </si>
  <si>
    <t>Isha Kadam</t>
  </si>
  <si>
    <t>Bharati Vidyapeeth College of Engineering, Pune</t>
  </si>
  <si>
    <t>Mira Joshi</t>
  </si>
  <si>
    <t>Ishwari Joshi</t>
  </si>
  <si>
    <t>Shree Siddheshwar Women's College of Engineering, Solapur</t>
  </si>
  <si>
    <t>Aarav Gaikwad</t>
  </si>
  <si>
    <t>Python + Data Analytics</t>
  </si>
  <si>
    <t>Ishaan Sharma</t>
  </si>
  <si>
    <t>Vivaan Suryawanshi</t>
  </si>
  <si>
    <t>Pooja Sharma</t>
  </si>
  <si>
    <t>College Seminar</t>
  </si>
  <si>
    <t>Isha Kale</t>
  </si>
  <si>
    <t>Riya More</t>
  </si>
  <si>
    <t>Riya Shinde</t>
  </si>
  <si>
    <t>Om Salunkhe</t>
  </si>
  <si>
    <t>Rajgad Technical Campus, Pune</t>
  </si>
  <si>
    <t>Pratik Bhosale</t>
  </si>
  <si>
    <t>Shubhangi</t>
  </si>
  <si>
    <t>Mira Digrase</t>
  </si>
  <si>
    <t>Vivaan Chavan</t>
  </si>
  <si>
    <t>Sunil</t>
  </si>
  <si>
    <t>Ishaan Joshi</t>
  </si>
  <si>
    <t>Demo Attended</t>
  </si>
  <si>
    <t>Aarav Pawar</t>
  </si>
  <si>
    <t>Prajakta Sharma</t>
  </si>
  <si>
    <t>Aarav More</t>
  </si>
  <si>
    <t>Aarav Deshmukh</t>
  </si>
  <si>
    <t>Walchand Institute of Technology, Solapur</t>
  </si>
  <si>
    <t>Pooja Suryawanshi</t>
  </si>
  <si>
    <t>Om Bhosale</t>
  </si>
  <si>
    <t>Rahul Pawar</t>
  </si>
  <si>
    <t>Mira Yadav</t>
  </si>
  <si>
    <t>Neha Joshi</t>
  </si>
  <si>
    <t>Kavya Naik</t>
  </si>
  <si>
    <t>Kavya Joshi</t>
  </si>
  <si>
    <t>Pooja Kadam</t>
  </si>
  <si>
    <t>Rohan Joshi</t>
  </si>
  <si>
    <t>Rohan Kadam</t>
  </si>
  <si>
    <t>Kavya Bhosale</t>
  </si>
  <si>
    <t>Renuka Naik</t>
  </si>
  <si>
    <t>Rahul Digrase</t>
  </si>
  <si>
    <t>Pimpri Chinchwad College of Engineering, Pune</t>
  </si>
  <si>
    <t>Sanket Gaikwad</t>
  </si>
  <si>
    <t>Kunal Gaikwad</t>
  </si>
  <si>
    <t>Pratik Jadhav</t>
  </si>
  <si>
    <t>Sai Dighe</t>
  </si>
  <si>
    <t>Pooja Deshmukh</t>
  </si>
  <si>
    <t>Riya Bhosale</t>
  </si>
  <si>
    <t>Diya Yadav</t>
  </si>
  <si>
    <t>Saanvi Yadav</t>
  </si>
  <si>
    <t>Pooja Gaikwad</t>
  </si>
  <si>
    <t>Rohan Salunkhe</t>
  </si>
  <si>
    <t>Riya Joshi</t>
  </si>
  <si>
    <t>Akshay Joshi</t>
  </si>
  <si>
    <t>Om Kulkarni</t>
  </si>
  <si>
    <t>Ishaan Dighe</t>
  </si>
  <si>
    <t>Riya Kale</t>
  </si>
  <si>
    <t>Aarav Naik</t>
  </si>
  <si>
    <t>Neha Jadhav</t>
  </si>
  <si>
    <t>Arjun Digrase</t>
  </si>
  <si>
    <t>Krishna Pawar</t>
  </si>
  <si>
    <t>Krishna Shinde</t>
  </si>
  <si>
    <t>Rahul Naik</t>
  </si>
  <si>
    <t>Neha Naik</t>
  </si>
  <si>
    <t>Mira Kulkarni</t>
  </si>
  <si>
    <t>Arjun Pawar</t>
  </si>
  <si>
    <t>Aditya Kadam</t>
  </si>
  <si>
    <t>Kavya Sharma</t>
  </si>
  <si>
    <t>Mira Dighe</t>
  </si>
  <si>
    <t>Ishwari Deshmukh</t>
  </si>
  <si>
    <t>Neha Dighe</t>
  </si>
  <si>
    <t>Aditya Kulkarni</t>
  </si>
  <si>
    <t>Sai Yadav</t>
  </si>
  <si>
    <t>Sanket Kale</t>
  </si>
  <si>
    <t>Aarav Kale</t>
  </si>
  <si>
    <t>Anaya Digrase</t>
  </si>
  <si>
    <t>Rahul Jadhav</t>
  </si>
  <si>
    <t>Nikita Sharma</t>
  </si>
  <si>
    <t>Reyansh Jadhav</t>
  </si>
  <si>
    <t>Rohan Patil</t>
  </si>
  <si>
    <t>Kavya Kulkarni</t>
  </si>
  <si>
    <t>Om Shinde</t>
  </si>
  <si>
    <t>Nikita Joshi</t>
  </si>
  <si>
    <t>Student Dataset Summary</t>
  </si>
  <si>
    <t>Metric</t>
  </si>
  <si>
    <t>Value</t>
  </si>
  <si>
    <t>Total Rows</t>
  </si>
  <si>
    <t>Admitted Count</t>
  </si>
  <si>
    <t>Payment Pending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</si>
</sst>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0" borderId="0" xfId="0" applyFont="1"/>
    <xf numFmtId="165" fontId="0" fillId="0" borderId="0" xfId="0" applyNumberFormat="1"/>
    <xf numFmtId="1" fontId="0" fillId="0" borderId="0" xfId="0" applyNumberFormat="1" applyAlignment="1">
      <alignment wrapText="1"/>
    </xf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DataTable" displayName="StudentDataTable" ref="A1:K101">
  <tableColumns count="11">
    <tableColumn id="1" xr3:uid="{00000000-0010-0000-0000-000001000000}" name="Branches"/>
    <tableColumn id="2" xr3:uid="{00000000-0010-0000-0000-000002000000}" name="Source Name"/>
    <tableColumn id="3" xr3:uid="{00000000-0010-0000-0000-000003000000}" name="Status"/>
    <tableColumn id="4" xr3:uid="{00000000-0010-0000-0000-000004000000}" name="College Name"/>
    <tableColumn id="5" xr3:uid="{00000000-0010-0000-0000-000005000000}" name="Student Name"/>
    <tableColumn id="6" xr3:uid="{00000000-0010-0000-0000-000006000000}" name="Admission Date"/>
    <tableColumn id="7" xr3:uid="{00000000-0010-0000-0000-000007000000}" name="Enrolled By"/>
    <tableColumn id="8" xr3:uid="{00000000-0010-0000-0000-000008000000}" name="Total Fee"/>
    <tableColumn id="9" xr3:uid="{00000000-0010-0000-0000-000009000000}" name="Remaining Fee"/>
    <tableColumn id="10" xr3:uid="{00000000-0010-0000-0000-00000A000000}" name="Course Name"/>
    <tableColumn id="11" xr3:uid="{00000000-0010-0000-0000-00000B000000}" name="Batch 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D11" sqref="D11:D18"/>
    </sheetView>
  </sheetViews>
  <sheetFormatPr defaultRowHeight="13.5"/>
  <cols>
    <col min="1" max="2" width="18" customWidth="1"/>
    <col min="3" max="3" width="15" customWidth="1"/>
    <col min="4" max="4" width="36" customWidth="1"/>
    <col min="5" max="5" width="20" customWidth="1"/>
    <col min="6" max="7" width="15" customWidth="1"/>
    <col min="8" max="9" width="14" customWidth="1"/>
    <col min="10" max="10" width="24" customWidth="1"/>
    <col min="11" max="11" width="12.375" customWidth="1"/>
  </cols>
  <sheetData>
    <row r="1" spans="1:11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7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46071</v>
      </c>
      <c r="G2" s="3" t="s">
        <v>16</v>
      </c>
      <c r="H2" s="5">
        <v>85000</v>
      </c>
      <c r="I2" s="5">
        <v>30000</v>
      </c>
      <c r="J2" s="3" t="s">
        <v>17</v>
      </c>
      <c r="K2" s="8">
        <v>21</v>
      </c>
    </row>
    <row r="3" spans="1:11">
      <c r="A3" s="3" t="s">
        <v>18</v>
      </c>
      <c r="B3" s="3" t="s">
        <v>19</v>
      </c>
      <c r="C3" s="3" t="s">
        <v>13</v>
      </c>
      <c r="D3" s="3" t="s">
        <v>20</v>
      </c>
      <c r="E3" s="3" t="s">
        <v>21</v>
      </c>
      <c r="F3" s="4">
        <v>46050</v>
      </c>
      <c r="G3" s="3" t="s">
        <v>22</v>
      </c>
      <c r="H3" s="5">
        <v>35000</v>
      </c>
      <c r="I3" s="5">
        <v>5000</v>
      </c>
      <c r="J3" s="3" t="s">
        <v>23</v>
      </c>
      <c r="K3" s="8">
        <v>20</v>
      </c>
    </row>
    <row r="4" spans="1:11" ht="27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4">
        <v>46012</v>
      </c>
      <c r="G4" s="3" t="s">
        <v>29</v>
      </c>
      <c r="H4" s="5">
        <v>65000</v>
      </c>
      <c r="I4" s="5">
        <v>0</v>
      </c>
      <c r="J4" s="3" t="s">
        <v>30</v>
      </c>
      <c r="K4" s="8">
        <v>24</v>
      </c>
    </row>
    <row r="5" spans="1:11" ht="27">
      <c r="A5" s="3" t="s">
        <v>11</v>
      </c>
      <c r="B5" s="3" t="s">
        <v>31</v>
      </c>
      <c r="C5" s="3" t="s">
        <v>32</v>
      </c>
      <c r="D5" s="3" t="s">
        <v>33</v>
      </c>
      <c r="E5" s="3" t="s">
        <v>34</v>
      </c>
      <c r="F5" s="4">
        <v>46107</v>
      </c>
      <c r="G5" s="3" t="s">
        <v>16</v>
      </c>
      <c r="H5" s="5">
        <v>35000</v>
      </c>
      <c r="I5" s="5">
        <v>10000</v>
      </c>
      <c r="J5" s="3" t="s">
        <v>17</v>
      </c>
      <c r="K5" s="8">
        <v>23</v>
      </c>
    </row>
    <row r="6" spans="1:11">
      <c r="A6" s="3" t="s">
        <v>35</v>
      </c>
      <c r="B6" s="3" t="s">
        <v>19</v>
      </c>
      <c r="C6" s="3" t="s">
        <v>26</v>
      </c>
      <c r="D6" s="3" t="s">
        <v>36</v>
      </c>
      <c r="E6" s="3" t="s">
        <v>37</v>
      </c>
      <c r="F6" s="4">
        <v>46116</v>
      </c>
      <c r="G6" s="3" t="s">
        <v>38</v>
      </c>
      <c r="H6" s="5">
        <v>35000</v>
      </c>
      <c r="I6" s="5">
        <v>20000</v>
      </c>
      <c r="J6" s="3" t="s">
        <v>30</v>
      </c>
      <c r="K6" s="8">
        <v>23</v>
      </c>
    </row>
    <row r="7" spans="1:11">
      <c r="A7" s="3" t="s">
        <v>39</v>
      </c>
      <c r="B7" s="3" t="s">
        <v>40</v>
      </c>
      <c r="C7" s="3" t="s">
        <v>13</v>
      </c>
      <c r="D7" s="3" t="s">
        <v>41</v>
      </c>
      <c r="E7" s="3" t="s">
        <v>42</v>
      </c>
      <c r="F7" s="4">
        <v>46125</v>
      </c>
      <c r="G7" s="3" t="s">
        <v>43</v>
      </c>
      <c r="H7" s="5">
        <v>99999</v>
      </c>
      <c r="I7" s="5">
        <v>0</v>
      </c>
      <c r="J7" s="3" t="s">
        <v>44</v>
      </c>
      <c r="K7" s="8">
        <v>22</v>
      </c>
    </row>
    <row r="8" spans="1:11">
      <c r="A8" s="3" t="s">
        <v>18</v>
      </c>
      <c r="B8" s="3" t="s">
        <v>19</v>
      </c>
      <c r="C8" s="3" t="s">
        <v>45</v>
      </c>
      <c r="D8" s="3" t="s">
        <v>46</v>
      </c>
      <c r="E8" s="3" t="s">
        <v>47</v>
      </c>
      <c r="F8" s="4">
        <v>45967</v>
      </c>
      <c r="G8" s="3" t="s">
        <v>48</v>
      </c>
      <c r="H8" s="5">
        <v>85000</v>
      </c>
      <c r="I8" s="5">
        <v>30000</v>
      </c>
      <c r="J8" s="3" t="s">
        <v>17</v>
      </c>
      <c r="K8" s="8">
        <v>21</v>
      </c>
    </row>
    <row r="9" spans="1:11">
      <c r="A9" s="3" t="s">
        <v>39</v>
      </c>
      <c r="B9" s="3" t="s">
        <v>49</v>
      </c>
      <c r="C9" s="3" t="s">
        <v>45</v>
      </c>
      <c r="D9" s="3" t="s">
        <v>36</v>
      </c>
      <c r="E9" s="3" t="s">
        <v>50</v>
      </c>
      <c r="F9" s="4">
        <v>46043</v>
      </c>
      <c r="G9" s="3" t="s">
        <v>29</v>
      </c>
      <c r="H9" s="5">
        <v>55000</v>
      </c>
      <c r="I9" s="5">
        <v>30000</v>
      </c>
      <c r="J9" s="3" t="s">
        <v>17</v>
      </c>
      <c r="K9" s="8">
        <v>28</v>
      </c>
    </row>
    <row r="10" spans="1:11" ht="27">
      <c r="A10" s="3" t="s">
        <v>51</v>
      </c>
      <c r="B10" s="3" t="s">
        <v>31</v>
      </c>
      <c r="C10" s="3" t="s">
        <v>13</v>
      </c>
      <c r="D10" s="3" t="s">
        <v>46</v>
      </c>
      <c r="E10" s="3" t="s">
        <v>52</v>
      </c>
      <c r="F10" s="4">
        <v>46092</v>
      </c>
      <c r="G10" s="3" t="s">
        <v>38</v>
      </c>
      <c r="H10" s="5">
        <v>55000</v>
      </c>
      <c r="I10" s="5">
        <v>20000</v>
      </c>
      <c r="J10" s="3" t="s">
        <v>53</v>
      </c>
      <c r="K10" s="8">
        <v>21</v>
      </c>
    </row>
    <row r="11" spans="1:11">
      <c r="A11" s="3" t="s">
        <v>18</v>
      </c>
      <c r="B11" s="3" t="s">
        <v>54</v>
      </c>
      <c r="C11" s="3" t="s">
        <v>55</v>
      </c>
      <c r="D11" s="3" t="s">
        <v>41</v>
      </c>
      <c r="E11" s="3" t="s">
        <v>56</v>
      </c>
      <c r="F11" s="4">
        <v>46065</v>
      </c>
      <c r="G11" s="3" t="s">
        <v>43</v>
      </c>
      <c r="H11" s="5">
        <v>45000</v>
      </c>
      <c r="I11" s="5">
        <v>20000</v>
      </c>
      <c r="J11" s="3" t="s">
        <v>53</v>
      </c>
      <c r="K11" s="8">
        <v>29</v>
      </c>
    </row>
    <row r="12" spans="1:11">
      <c r="A12" s="3" t="s">
        <v>11</v>
      </c>
      <c r="B12" s="3" t="s">
        <v>25</v>
      </c>
      <c r="C12" s="3" t="s">
        <v>32</v>
      </c>
      <c r="D12" s="3" t="s">
        <v>41</v>
      </c>
      <c r="E12" s="3" t="s">
        <v>57</v>
      </c>
      <c r="F12" s="4">
        <v>45955</v>
      </c>
      <c r="G12" s="3" t="s">
        <v>22</v>
      </c>
      <c r="H12" s="5">
        <v>75000</v>
      </c>
      <c r="I12" s="5">
        <v>37500</v>
      </c>
      <c r="J12" s="3" t="s">
        <v>30</v>
      </c>
      <c r="K12" s="8">
        <v>26</v>
      </c>
    </row>
    <row r="13" spans="1:11">
      <c r="A13" s="3" t="s">
        <v>11</v>
      </c>
      <c r="B13" s="3" t="s">
        <v>12</v>
      </c>
      <c r="C13" s="3" t="s">
        <v>32</v>
      </c>
      <c r="D13" s="3" t="s">
        <v>41</v>
      </c>
      <c r="E13" s="3" t="s">
        <v>58</v>
      </c>
      <c r="F13" s="4">
        <v>46201</v>
      </c>
      <c r="G13" s="3" t="s">
        <v>38</v>
      </c>
      <c r="H13" s="5">
        <v>65000</v>
      </c>
      <c r="I13" s="5">
        <v>15000</v>
      </c>
      <c r="J13" s="3" t="s">
        <v>59</v>
      </c>
      <c r="K13" s="8">
        <v>20</v>
      </c>
    </row>
    <row r="14" spans="1:11">
      <c r="A14" s="3" t="s">
        <v>18</v>
      </c>
      <c r="B14" s="3" t="s">
        <v>25</v>
      </c>
      <c r="C14" s="3" t="s">
        <v>13</v>
      </c>
      <c r="D14" s="3" t="s">
        <v>41</v>
      </c>
      <c r="E14" s="3" t="s">
        <v>60</v>
      </c>
      <c r="F14" s="4">
        <v>46163</v>
      </c>
      <c r="G14" s="3" t="s">
        <v>16</v>
      </c>
      <c r="H14" s="5">
        <v>35000</v>
      </c>
      <c r="I14" s="5">
        <v>5000</v>
      </c>
      <c r="J14" s="3" t="s">
        <v>44</v>
      </c>
      <c r="K14" s="8">
        <v>20</v>
      </c>
    </row>
    <row r="15" spans="1:11">
      <c r="A15" s="3" t="s">
        <v>18</v>
      </c>
      <c r="B15" s="3" t="s">
        <v>49</v>
      </c>
      <c r="C15" s="3" t="s">
        <v>55</v>
      </c>
      <c r="D15" s="3" t="s">
        <v>41</v>
      </c>
      <c r="E15" s="3" t="s">
        <v>62</v>
      </c>
      <c r="F15" s="4">
        <v>46032</v>
      </c>
      <c r="G15" s="3" t="s">
        <v>29</v>
      </c>
      <c r="H15" s="5">
        <v>99999</v>
      </c>
      <c r="I15" s="5">
        <v>20000</v>
      </c>
      <c r="J15" s="3" t="s">
        <v>63</v>
      </c>
      <c r="K15" s="8">
        <v>21</v>
      </c>
    </row>
    <row r="16" spans="1:11">
      <c r="A16" s="3" t="s">
        <v>18</v>
      </c>
      <c r="B16" s="3" t="s">
        <v>12</v>
      </c>
      <c r="C16" s="3" t="s">
        <v>13</v>
      </c>
      <c r="D16" s="3" t="s">
        <v>41</v>
      </c>
      <c r="E16" s="3" t="s">
        <v>65</v>
      </c>
      <c r="F16" s="4">
        <v>46088</v>
      </c>
      <c r="G16" s="3" t="s">
        <v>48</v>
      </c>
      <c r="H16" s="5">
        <v>35000</v>
      </c>
      <c r="I16" s="5">
        <v>10000</v>
      </c>
      <c r="J16" s="3" t="s">
        <v>30</v>
      </c>
      <c r="K16" s="8">
        <v>23</v>
      </c>
    </row>
    <row r="17" spans="1:11">
      <c r="A17" s="3" t="s">
        <v>18</v>
      </c>
      <c r="B17" s="3" t="s">
        <v>54</v>
      </c>
      <c r="C17" s="3" t="s">
        <v>26</v>
      </c>
      <c r="D17" s="3" t="s">
        <v>41</v>
      </c>
      <c r="E17" s="3" t="s">
        <v>66</v>
      </c>
      <c r="F17" s="4">
        <v>46174</v>
      </c>
      <c r="G17" s="3" t="s">
        <v>43</v>
      </c>
      <c r="H17" s="5">
        <v>99999</v>
      </c>
      <c r="I17" s="5">
        <v>0</v>
      </c>
      <c r="J17" s="3" t="s">
        <v>44</v>
      </c>
      <c r="K17" s="8">
        <v>23</v>
      </c>
    </row>
    <row r="18" spans="1:11">
      <c r="A18" s="3" t="s">
        <v>51</v>
      </c>
      <c r="B18" s="3" t="s">
        <v>12</v>
      </c>
      <c r="C18" s="3" t="s">
        <v>45</v>
      </c>
      <c r="D18" s="3" t="s">
        <v>41</v>
      </c>
      <c r="E18" s="3" t="s">
        <v>67</v>
      </c>
      <c r="F18" s="4">
        <v>46122</v>
      </c>
      <c r="G18" s="3" t="s">
        <v>43</v>
      </c>
      <c r="H18" s="5">
        <v>65000</v>
      </c>
      <c r="I18" s="5">
        <v>30000</v>
      </c>
      <c r="J18" s="3" t="s">
        <v>30</v>
      </c>
      <c r="K18" s="8">
        <v>28</v>
      </c>
    </row>
    <row r="19" spans="1:11" ht="27">
      <c r="A19" s="3" t="s">
        <v>35</v>
      </c>
      <c r="B19" s="3" t="s">
        <v>49</v>
      </c>
      <c r="C19" s="3" t="s">
        <v>13</v>
      </c>
      <c r="D19" s="3" t="s">
        <v>27</v>
      </c>
      <c r="E19" s="3" t="s">
        <v>68</v>
      </c>
      <c r="F19" s="4">
        <v>46048</v>
      </c>
      <c r="G19" s="3" t="s">
        <v>16</v>
      </c>
      <c r="H19" s="5">
        <v>55000</v>
      </c>
      <c r="I19" s="5">
        <v>20000</v>
      </c>
      <c r="J19" s="3" t="s">
        <v>69</v>
      </c>
      <c r="K19" s="8">
        <v>29</v>
      </c>
    </row>
    <row r="20" spans="1:11">
      <c r="A20" s="3" t="s">
        <v>39</v>
      </c>
      <c r="B20" s="3" t="s">
        <v>25</v>
      </c>
      <c r="C20" s="3" t="s">
        <v>13</v>
      </c>
      <c r="D20" s="3" t="s">
        <v>20</v>
      </c>
      <c r="E20" s="3" t="s">
        <v>70</v>
      </c>
      <c r="F20" s="4">
        <v>46052</v>
      </c>
      <c r="G20" s="3" t="s">
        <v>48</v>
      </c>
      <c r="H20" s="5">
        <v>99999</v>
      </c>
      <c r="I20" s="5">
        <v>20000</v>
      </c>
      <c r="J20" s="3" t="s">
        <v>23</v>
      </c>
      <c r="K20" s="8">
        <v>20</v>
      </c>
    </row>
    <row r="21" spans="1:11">
      <c r="A21" s="3" t="s">
        <v>24</v>
      </c>
      <c r="B21" s="3" t="s">
        <v>54</v>
      </c>
      <c r="C21" s="3" t="s">
        <v>32</v>
      </c>
      <c r="D21" s="3" t="s">
        <v>71</v>
      </c>
      <c r="E21" s="3" t="s">
        <v>72</v>
      </c>
      <c r="F21" s="4">
        <v>46028</v>
      </c>
      <c r="G21" s="3" t="s">
        <v>48</v>
      </c>
      <c r="H21" s="5">
        <v>99999</v>
      </c>
      <c r="I21" s="5">
        <v>15000</v>
      </c>
      <c r="J21" s="3" t="s">
        <v>69</v>
      </c>
      <c r="K21" s="8">
        <v>28</v>
      </c>
    </row>
    <row r="22" spans="1:11" ht="27">
      <c r="A22" s="3" t="s">
        <v>73</v>
      </c>
      <c r="B22" s="3" t="s">
        <v>12</v>
      </c>
      <c r="C22" s="3" t="s">
        <v>55</v>
      </c>
      <c r="D22" s="3" t="s">
        <v>27</v>
      </c>
      <c r="E22" s="3" t="s">
        <v>74</v>
      </c>
      <c r="F22" s="4">
        <v>45981</v>
      </c>
      <c r="G22" s="3" t="s">
        <v>43</v>
      </c>
      <c r="H22" s="5">
        <v>85000</v>
      </c>
      <c r="I22" s="5">
        <v>30000</v>
      </c>
      <c r="J22" s="3" t="s">
        <v>23</v>
      </c>
      <c r="K22" s="8">
        <v>23</v>
      </c>
    </row>
    <row r="23" spans="1:11" ht="27">
      <c r="A23" s="3" t="s">
        <v>73</v>
      </c>
      <c r="B23" s="3" t="s">
        <v>12</v>
      </c>
      <c r="C23" s="3" t="s">
        <v>32</v>
      </c>
      <c r="D23" s="3" t="s">
        <v>75</v>
      </c>
      <c r="E23" s="3" t="s">
        <v>76</v>
      </c>
      <c r="F23" s="4">
        <v>46024</v>
      </c>
      <c r="G23" s="3" t="s">
        <v>16</v>
      </c>
      <c r="H23" s="5">
        <v>75000</v>
      </c>
      <c r="I23" s="5">
        <v>15000</v>
      </c>
      <c r="J23" s="3" t="s">
        <v>69</v>
      </c>
      <c r="K23" s="8">
        <v>28</v>
      </c>
    </row>
    <row r="24" spans="1:11" ht="27">
      <c r="A24" s="3" t="s">
        <v>39</v>
      </c>
      <c r="B24" s="3" t="s">
        <v>54</v>
      </c>
      <c r="C24" s="3" t="s">
        <v>45</v>
      </c>
      <c r="D24" s="3" t="s">
        <v>75</v>
      </c>
      <c r="E24" s="3" t="s">
        <v>77</v>
      </c>
      <c r="F24" s="4">
        <v>45938</v>
      </c>
      <c r="G24" s="3" t="s">
        <v>48</v>
      </c>
      <c r="H24" s="5">
        <v>85000</v>
      </c>
      <c r="I24" s="5">
        <v>42500</v>
      </c>
      <c r="J24" s="3" t="s">
        <v>23</v>
      </c>
      <c r="K24" s="8">
        <v>26</v>
      </c>
    </row>
    <row r="25" spans="1:11" ht="27">
      <c r="A25" s="3" t="s">
        <v>24</v>
      </c>
      <c r="B25" s="3" t="s">
        <v>31</v>
      </c>
      <c r="C25" s="3" t="s">
        <v>32</v>
      </c>
      <c r="D25" s="3" t="s">
        <v>78</v>
      </c>
      <c r="E25" s="3" t="s">
        <v>79</v>
      </c>
      <c r="F25" s="4">
        <v>46015</v>
      </c>
      <c r="G25" s="3" t="s">
        <v>22</v>
      </c>
      <c r="H25" s="5">
        <v>99999</v>
      </c>
      <c r="I25" s="5">
        <v>0</v>
      </c>
      <c r="J25" s="3" t="s">
        <v>80</v>
      </c>
      <c r="K25" s="8">
        <v>23</v>
      </c>
    </row>
    <row r="26" spans="1:11">
      <c r="A26" s="3" t="s">
        <v>18</v>
      </c>
      <c r="B26" s="3" t="s">
        <v>49</v>
      </c>
      <c r="C26" s="3" t="s">
        <v>55</v>
      </c>
      <c r="D26" s="3" t="s">
        <v>20</v>
      </c>
      <c r="E26" s="3" t="s">
        <v>81</v>
      </c>
      <c r="F26" s="4">
        <v>46028</v>
      </c>
      <c r="G26" s="3" t="s">
        <v>29</v>
      </c>
      <c r="H26" s="5">
        <v>85000</v>
      </c>
      <c r="I26" s="5">
        <v>5000</v>
      </c>
      <c r="J26" s="3" t="s">
        <v>69</v>
      </c>
      <c r="K26" s="8">
        <v>27</v>
      </c>
    </row>
    <row r="27" spans="1:11">
      <c r="A27" s="3" t="s">
        <v>35</v>
      </c>
      <c r="B27" s="3" t="s">
        <v>25</v>
      </c>
      <c r="C27" s="3" t="s">
        <v>26</v>
      </c>
      <c r="D27" s="3" t="s">
        <v>64</v>
      </c>
      <c r="E27" s="3" t="s">
        <v>82</v>
      </c>
      <c r="F27" s="4">
        <v>46202</v>
      </c>
      <c r="G27" s="3" t="s">
        <v>16</v>
      </c>
      <c r="H27" s="5">
        <v>35000</v>
      </c>
      <c r="I27" s="5">
        <v>17500</v>
      </c>
      <c r="J27" s="3" t="s">
        <v>23</v>
      </c>
      <c r="K27" s="8">
        <v>29</v>
      </c>
    </row>
    <row r="28" spans="1:11">
      <c r="A28" s="3" t="s">
        <v>18</v>
      </c>
      <c r="B28" s="3" t="s">
        <v>12</v>
      </c>
      <c r="C28" s="3" t="s">
        <v>13</v>
      </c>
      <c r="D28" s="3" t="s">
        <v>71</v>
      </c>
      <c r="E28" s="3" t="s">
        <v>83</v>
      </c>
      <c r="F28" s="4">
        <v>46057</v>
      </c>
      <c r="G28" s="3" t="s">
        <v>29</v>
      </c>
      <c r="H28" s="5">
        <v>65000</v>
      </c>
      <c r="I28" s="5">
        <v>20000</v>
      </c>
      <c r="J28" s="3" t="s">
        <v>44</v>
      </c>
      <c r="K28" s="8">
        <v>24</v>
      </c>
    </row>
    <row r="29" spans="1:11" ht="27">
      <c r="A29" s="3" t="s">
        <v>11</v>
      </c>
      <c r="B29" s="3" t="s">
        <v>84</v>
      </c>
      <c r="C29" s="3" t="s">
        <v>55</v>
      </c>
      <c r="D29" s="3" t="s">
        <v>75</v>
      </c>
      <c r="E29" s="3" t="s">
        <v>85</v>
      </c>
      <c r="F29" s="4">
        <v>46053</v>
      </c>
      <c r="G29" s="3" t="s">
        <v>29</v>
      </c>
      <c r="H29" s="5">
        <v>45000</v>
      </c>
      <c r="I29" s="5">
        <v>10000</v>
      </c>
      <c r="J29" s="3" t="s">
        <v>30</v>
      </c>
      <c r="K29" s="8">
        <v>20</v>
      </c>
    </row>
    <row r="30" spans="1:11">
      <c r="A30" s="3" t="s">
        <v>18</v>
      </c>
      <c r="B30" s="3" t="s">
        <v>84</v>
      </c>
      <c r="C30" s="3" t="s">
        <v>32</v>
      </c>
      <c r="D30" s="3" t="s">
        <v>46</v>
      </c>
      <c r="E30" s="3" t="s">
        <v>86</v>
      </c>
      <c r="F30" s="4">
        <v>45982</v>
      </c>
      <c r="G30" s="3" t="s">
        <v>29</v>
      </c>
      <c r="H30" s="5">
        <v>35000</v>
      </c>
      <c r="I30" s="5">
        <v>20000</v>
      </c>
      <c r="J30" s="3" t="s">
        <v>30</v>
      </c>
      <c r="K30" s="8">
        <v>22</v>
      </c>
    </row>
    <row r="31" spans="1:11" ht="27">
      <c r="A31" s="3" t="s">
        <v>18</v>
      </c>
      <c r="B31" s="3" t="s">
        <v>49</v>
      </c>
      <c r="C31" s="3" t="s">
        <v>32</v>
      </c>
      <c r="D31" s="3" t="s">
        <v>14</v>
      </c>
      <c r="E31" s="3" t="s">
        <v>87</v>
      </c>
      <c r="F31" s="4">
        <v>46155</v>
      </c>
      <c r="G31" s="3" t="s">
        <v>38</v>
      </c>
      <c r="H31" s="5">
        <v>45000</v>
      </c>
      <c r="I31" s="5">
        <v>5000</v>
      </c>
      <c r="J31" s="3" t="s">
        <v>30</v>
      </c>
      <c r="K31" s="8">
        <v>26</v>
      </c>
    </row>
    <row r="32" spans="1:11" ht="27">
      <c r="A32" s="3" t="s">
        <v>39</v>
      </c>
      <c r="B32" s="3" t="s">
        <v>40</v>
      </c>
      <c r="C32" s="3" t="s">
        <v>13</v>
      </c>
      <c r="D32" s="3" t="s">
        <v>27</v>
      </c>
      <c r="E32" s="3" t="s">
        <v>88</v>
      </c>
      <c r="F32" s="4">
        <v>46010</v>
      </c>
      <c r="G32" s="3" t="s">
        <v>38</v>
      </c>
      <c r="H32" s="5">
        <v>45000</v>
      </c>
      <c r="I32" s="5">
        <v>0</v>
      </c>
      <c r="J32" s="3" t="s">
        <v>80</v>
      </c>
      <c r="K32" s="8">
        <v>25</v>
      </c>
    </row>
    <row r="33" spans="1:11">
      <c r="A33" s="3" t="s">
        <v>73</v>
      </c>
      <c r="B33" s="3" t="s">
        <v>84</v>
      </c>
      <c r="C33" s="3" t="s">
        <v>13</v>
      </c>
      <c r="D33" s="3" t="s">
        <v>89</v>
      </c>
      <c r="E33" s="3" t="s">
        <v>90</v>
      </c>
      <c r="F33" s="4">
        <v>45957</v>
      </c>
      <c r="G33" s="3" t="s">
        <v>91</v>
      </c>
      <c r="H33" s="5">
        <v>65000</v>
      </c>
      <c r="I33" s="5">
        <v>32500</v>
      </c>
      <c r="J33" s="3" t="s">
        <v>59</v>
      </c>
      <c r="K33" s="8">
        <v>24</v>
      </c>
    </row>
    <row r="34" spans="1:11">
      <c r="A34" s="3" t="s">
        <v>11</v>
      </c>
      <c r="B34" s="3" t="s">
        <v>54</v>
      </c>
      <c r="C34" s="3" t="s">
        <v>13</v>
      </c>
      <c r="D34" s="3" t="s">
        <v>33</v>
      </c>
      <c r="E34" s="3" t="s">
        <v>92</v>
      </c>
      <c r="F34" s="4">
        <v>46013</v>
      </c>
      <c r="G34" s="3" t="s">
        <v>91</v>
      </c>
      <c r="H34" s="5">
        <v>99999</v>
      </c>
      <c r="I34" s="5">
        <v>10000</v>
      </c>
      <c r="J34" s="3" t="s">
        <v>30</v>
      </c>
      <c r="K34" s="8">
        <v>22</v>
      </c>
    </row>
    <row r="35" spans="1:11">
      <c r="A35" s="3" t="s">
        <v>18</v>
      </c>
      <c r="B35" s="3" t="s">
        <v>25</v>
      </c>
      <c r="C35" s="3" t="s">
        <v>45</v>
      </c>
      <c r="D35" s="3" t="s">
        <v>71</v>
      </c>
      <c r="E35" s="3" t="s">
        <v>93</v>
      </c>
      <c r="F35" s="4">
        <v>46007</v>
      </c>
      <c r="G35" s="3" t="s">
        <v>94</v>
      </c>
      <c r="H35" s="5">
        <v>35000</v>
      </c>
      <c r="I35" s="5">
        <v>30000</v>
      </c>
      <c r="J35" s="3" t="s">
        <v>69</v>
      </c>
      <c r="K35" s="8">
        <v>23</v>
      </c>
    </row>
    <row r="36" spans="1:11">
      <c r="A36" s="3" t="s">
        <v>11</v>
      </c>
      <c r="B36" s="3" t="s">
        <v>12</v>
      </c>
      <c r="C36" s="3" t="s">
        <v>32</v>
      </c>
      <c r="D36" s="3" t="s">
        <v>41</v>
      </c>
      <c r="E36" s="3" t="s">
        <v>95</v>
      </c>
      <c r="F36" s="4">
        <v>45951</v>
      </c>
      <c r="G36" s="3" t="s">
        <v>22</v>
      </c>
      <c r="H36" s="5">
        <v>55000</v>
      </c>
      <c r="I36" s="5">
        <v>27500</v>
      </c>
      <c r="J36" s="3" t="s">
        <v>53</v>
      </c>
      <c r="K36" s="8">
        <v>25</v>
      </c>
    </row>
    <row r="37" spans="1:11">
      <c r="A37" s="3" t="s">
        <v>11</v>
      </c>
      <c r="B37" s="3" t="s">
        <v>40</v>
      </c>
      <c r="C37" s="3" t="s">
        <v>96</v>
      </c>
      <c r="D37" s="3" t="s">
        <v>36</v>
      </c>
      <c r="E37" s="3" t="s">
        <v>97</v>
      </c>
      <c r="F37" s="4">
        <v>46021</v>
      </c>
      <c r="G37" s="3" t="s">
        <v>22</v>
      </c>
      <c r="H37" s="5">
        <v>45000</v>
      </c>
      <c r="I37" s="5">
        <v>22500</v>
      </c>
      <c r="J37" s="3" t="s">
        <v>23</v>
      </c>
      <c r="K37" s="8">
        <v>21</v>
      </c>
    </row>
    <row r="38" spans="1:11" ht="27">
      <c r="A38" s="3" t="s">
        <v>73</v>
      </c>
      <c r="B38" s="3" t="s">
        <v>31</v>
      </c>
      <c r="C38" s="3" t="s">
        <v>13</v>
      </c>
      <c r="D38" s="3" t="s">
        <v>27</v>
      </c>
      <c r="E38" s="3" t="s">
        <v>98</v>
      </c>
      <c r="F38" s="4">
        <v>45986</v>
      </c>
      <c r="G38" s="3" t="s">
        <v>43</v>
      </c>
      <c r="H38" s="5">
        <v>55000</v>
      </c>
      <c r="I38" s="5">
        <v>30000</v>
      </c>
      <c r="J38" s="3" t="s">
        <v>63</v>
      </c>
      <c r="K38" s="8">
        <v>21</v>
      </c>
    </row>
    <row r="39" spans="1:11" ht="27">
      <c r="A39" s="3" t="s">
        <v>51</v>
      </c>
      <c r="B39" s="3" t="s">
        <v>40</v>
      </c>
      <c r="C39" s="3" t="s">
        <v>13</v>
      </c>
      <c r="D39" s="3" t="s">
        <v>78</v>
      </c>
      <c r="E39" s="3" t="s">
        <v>99</v>
      </c>
      <c r="F39" s="4">
        <v>46047</v>
      </c>
      <c r="G39" s="3" t="s">
        <v>16</v>
      </c>
      <c r="H39" s="5">
        <v>55000</v>
      </c>
      <c r="I39" s="5">
        <v>27500</v>
      </c>
      <c r="J39" s="3" t="s">
        <v>44</v>
      </c>
      <c r="K39" s="8">
        <v>26</v>
      </c>
    </row>
    <row r="40" spans="1:11">
      <c r="A40" s="3" t="s">
        <v>24</v>
      </c>
      <c r="B40" s="3" t="s">
        <v>25</v>
      </c>
      <c r="C40" s="3" t="s">
        <v>55</v>
      </c>
      <c r="D40" s="3" t="s">
        <v>61</v>
      </c>
      <c r="E40" s="3" t="s">
        <v>100</v>
      </c>
      <c r="F40" s="4">
        <v>46205</v>
      </c>
      <c r="G40" s="3" t="s">
        <v>38</v>
      </c>
      <c r="H40" s="5">
        <v>55000</v>
      </c>
      <c r="I40" s="5">
        <v>15000</v>
      </c>
      <c r="J40" s="3" t="s">
        <v>69</v>
      </c>
      <c r="K40" s="8">
        <v>21</v>
      </c>
    </row>
    <row r="41" spans="1:11">
      <c r="A41" s="3" t="s">
        <v>35</v>
      </c>
      <c r="B41" s="3" t="s">
        <v>54</v>
      </c>
      <c r="C41" s="3" t="s">
        <v>26</v>
      </c>
      <c r="D41" s="3" t="s">
        <v>101</v>
      </c>
      <c r="E41" s="3" t="s">
        <v>102</v>
      </c>
      <c r="F41" s="4">
        <v>46091</v>
      </c>
      <c r="G41" s="3" t="s">
        <v>43</v>
      </c>
      <c r="H41" s="5">
        <v>35000</v>
      </c>
      <c r="I41" s="5">
        <v>0</v>
      </c>
      <c r="J41" s="3" t="s">
        <v>44</v>
      </c>
      <c r="K41" s="8">
        <v>25</v>
      </c>
    </row>
    <row r="42" spans="1:11">
      <c r="A42" s="3" t="s">
        <v>24</v>
      </c>
      <c r="B42" s="3" t="s">
        <v>54</v>
      </c>
      <c r="C42" s="3" t="s">
        <v>55</v>
      </c>
      <c r="D42" s="3" t="s">
        <v>64</v>
      </c>
      <c r="E42" s="3" t="s">
        <v>86</v>
      </c>
      <c r="F42" s="4">
        <v>46197</v>
      </c>
      <c r="G42" s="3" t="s">
        <v>29</v>
      </c>
      <c r="H42" s="5">
        <v>35000</v>
      </c>
      <c r="I42" s="5">
        <v>0</v>
      </c>
      <c r="J42" s="3" t="s">
        <v>59</v>
      </c>
      <c r="K42" s="8">
        <v>25</v>
      </c>
    </row>
    <row r="43" spans="1:11">
      <c r="A43" s="3" t="s">
        <v>24</v>
      </c>
      <c r="B43" s="3" t="s">
        <v>54</v>
      </c>
      <c r="C43" s="3" t="s">
        <v>96</v>
      </c>
      <c r="D43" s="3" t="s">
        <v>20</v>
      </c>
      <c r="E43" s="3" t="s">
        <v>103</v>
      </c>
      <c r="F43" s="4">
        <v>46084</v>
      </c>
      <c r="G43" s="3" t="s">
        <v>38</v>
      </c>
      <c r="H43" s="5">
        <v>85000</v>
      </c>
      <c r="I43" s="5">
        <v>30000</v>
      </c>
      <c r="J43" s="3" t="s">
        <v>80</v>
      </c>
      <c r="K43" s="8">
        <v>29</v>
      </c>
    </row>
    <row r="44" spans="1:11">
      <c r="A44" s="3" t="s">
        <v>18</v>
      </c>
      <c r="B44" s="3" t="s">
        <v>84</v>
      </c>
      <c r="C44" s="3" t="s">
        <v>13</v>
      </c>
      <c r="D44" s="3" t="s">
        <v>71</v>
      </c>
      <c r="E44" s="3" t="s">
        <v>104</v>
      </c>
      <c r="F44" s="4">
        <v>46125</v>
      </c>
      <c r="G44" s="3" t="s">
        <v>91</v>
      </c>
      <c r="H44" s="5">
        <v>45000</v>
      </c>
      <c r="I44" s="5">
        <v>30000</v>
      </c>
      <c r="J44" s="3" t="s">
        <v>44</v>
      </c>
      <c r="K44" s="8">
        <v>24</v>
      </c>
    </row>
    <row r="45" spans="1:11">
      <c r="A45" s="3" t="s">
        <v>11</v>
      </c>
      <c r="B45" s="3" t="s">
        <v>19</v>
      </c>
      <c r="C45" s="3" t="s">
        <v>13</v>
      </c>
      <c r="D45" s="3" t="s">
        <v>33</v>
      </c>
      <c r="E45" s="3" t="s">
        <v>105</v>
      </c>
      <c r="F45" s="4">
        <v>46095</v>
      </c>
      <c r="G45" s="3" t="s">
        <v>48</v>
      </c>
      <c r="H45" s="5">
        <v>55000</v>
      </c>
      <c r="I45" s="5">
        <v>27500</v>
      </c>
      <c r="J45" s="3" t="s">
        <v>53</v>
      </c>
      <c r="K45" s="8">
        <v>20</v>
      </c>
    </row>
    <row r="46" spans="1:11" ht="27">
      <c r="A46" s="3" t="s">
        <v>11</v>
      </c>
      <c r="B46" s="3" t="s">
        <v>84</v>
      </c>
      <c r="C46" s="3" t="s">
        <v>13</v>
      </c>
      <c r="D46" s="3" t="s">
        <v>27</v>
      </c>
      <c r="E46" s="3" t="s">
        <v>106</v>
      </c>
      <c r="F46" s="4">
        <v>46102</v>
      </c>
      <c r="G46" s="3" t="s">
        <v>43</v>
      </c>
      <c r="H46" s="5">
        <v>85000</v>
      </c>
      <c r="I46" s="5">
        <v>20000</v>
      </c>
      <c r="J46" s="3" t="s">
        <v>53</v>
      </c>
      <c r="K46" s="8">
        <v>27</v>
      </c>
    </row>
    <row r="47" spans="1:11" ht="27">
      <c r="A47" s="3" t="s">
        <v>39</v>
      </c>
      <c r="B47" s="3" t="s">
        <v>54</v>
      </c>
      <c r="C47" s="3" t="s">
        <v>13</v>
      </c>
      <c r="D47" s="3" t="s">
        <v>75</v>
      </c>
      <c r="E47" s="3" t="s">
        <v>107</v>
      </c>
      <c r="F47" s="4">
        <v>45968</v>
      </c>
      <c r="G47" s="3" t="s">
        <v>22</v>
      </c>
      <c r="H47" s="5">
        <v>35000</v>
      </c>
      <c r="I47" s="5">
        <v>15000</v>
      </c>
      <c r="J47" s="3" t="s">
        <v>23</v>
      </c>
      <c r="K47" s="8">
        <v>28</v>
      </c>
    </row>
    <row r="48" spans="1:11" ht="27">
      <c r="A48" s="3" t="s">
        <v>39</v>
      </c>
      <c r="B48" s="3" t="s">
        <v>31</v>
      </c>
      <c r="C48" s="3" t="s">
        <v>55</v>
      </c>
      <c r="D48" s="3"/>
      <c r="E48" s="3" t="s">
        <v>108</v>
      </c>
      <c r="F48" s="4">
        <v>45985</v>
      </c>
      <c r="G48" s="3" t="s">
        <v>43</v>
      </c>
      <c r="H48" s="5">
        <v>45000</v>
      </c>
      <c r="I48" s="5">
        <v>0</v>
      </c>
      <c r="J48" s="3" t="s">
        <v>30</v>
      </c>
      <c r="K48" s="8">
        <v>21</v>
      </c>
    </row>
    <row r="49" spans="1:11" ht="27">
      <c r="A49" s="3" t="s">
        <v>73</v>
      </c>
      <c r="B49" s="3" t="s">
        <v>31</v>
      </c>
      <c r="C49" s="3" t="s">
        <v>13</v>
      </c>
      <c r="D49" s="3"/>
      <c r="E49" s="3" t="s">
        <v>109</v>
      </c>
      <c r="F49" s="4">
        <v>46202</v>
      </c>
      <c r="G49" s="3" t="s">
        <v>22</v>
      </c>
      <c r="H49" s="5">
        <v>65000</v>
      </c>
      <c r="I49" s="5">
        <v>15000</v>
      </c>
      <c r="J49" s="3" t="s">
        <v>80</v>
      </c>
      <c r="K49" s="8">
        <v>26</v>
      </c>
    </row>
    <row r="50" spans="1:11">
      <c r="A50" s="3" t="s">
        <v>73</v>
      </c>
      <c r="B50" s="3" t="s">
        <v>84</v>
      </c>
      <c r="C50" s="3" t="s">
        <v>96</v>
      </c>
      <c r="D50" s="3"/>
      <c r="E50" s="3" t="s">
        <v>110</v>
      </c>
      <c r="F50" s="4">
        <v>46174</v>
      </c>
      <c r="G50" s="3" t="s">
        <v>48</v>
      </c>
      <c r="H50" s="5">
        <v>65000</v>
      </c>
      <c r="I50" s="5">
        <v>30000</v>
      </c>
      <c r="J50" s="3" t="s">
        <v>23</v>
      </c>
      <c r="K50" s="8">
        <v>21</v>
      </c>
    </row>
    <row r="51" spans="1:11">
      <c r="A51" s="3" t="s">
        <v>24</v>
      </c>
      <c r="B51" s="3" t="s">
        <v>12</v>
      </c>
      <c r="C51" s="3" t="s">
        <v>32</v>
      </c>
      <c r="D51" s="3"/>
      <c r="E51" s="3" t="s">
        <v>111</v>
      </c>
      <c r="F51" s="4">
        <v>46077</v>
      </c>
      <c r="G51" s="3" t="s">
        <v>94</v>
      </c>
      <c r="H51" s="5">
        <v>55000</v>
      </c>
      <c r="I51" s="5">
        <v>30000</v>
      </c>
      <c r="J51" s="3" t="s">
        <v>23</v>
      </c>
      <c r="K51" s="8">
        <v>28</v>
      </c>
    </row>
    <row r="52" spans="1:11" ht="27">
      <c r="A52" s="3" t="s">
        <v>24</v>
      </c>
      <c r="B52" s="3" t="s">
        <v>31</v>
      </c>
      <c r="C52" s="3" t="s">
        <v>55</v>
      </c>
      <c r="D52" s="3"/>
      <c r="E52" s="3" t="s">
        <v>112</v>
      </c>
      <c r="F52" s="4">
        <v>46040</v>
      </c>
      <c r="G52" s="3" t="s">
        <v>91</v>
      </c>
      <c r="H52" s="5">
        <v>65000</v>
      </c>
      <c r="I52" s="5">
        <v>30000</v>
      </c>
      <c r="J52" s="3" t="s">
        <v>23</v>
      </c>
      <c r="K52" s="8">
        <v>24</v>
      </c>
    </row>
    <row r="53" spans="1:11" ht="27">
      <c r="A53" s="3" t="s">
        <v>51</v>
      </c>
      <c r="B53" s="3" t="s">
        <v>31</v>
      </c>
      <c r="C53" s="3" t="s">
        <v>32</v>
      </c>
      <c r="D53" s="3" t="s">
        <v>89</v>
      </c>
      <c r="E53" s="3" t="s">
        <v>113</v>
      </c>
      <c r="F53" s="4">
        <v>45941</v>
      </c>
      <c r="G53" s="3" t="s">
        <v>29</v>
      </c>
      <c r="H53" s="5">
        <v>99999</v>
      </c>
      <c r="I53" s="5">
        <v>49999</v>
      </c>
      <c r="J53" s="3" t="s">
        <v>44</v>
      </c>
      <c r="K53" s="8">
        <v>29</v>
      </c>
    </row>
    <row r="54" spans="1:11" ht="27">
      <c r="A54" s="3" t="s">
        <v>73</v>
      </c>
      <c r="B54" s="3" t="s">
        <v>19</v>
      </c>
      <c r="C54" s="3" t="s">
        <v>32</v>
      </c>
      <c r="D54" s="3" t="s">
        <v>75</v>
      </c>
      <c r="E54" s="3" t="s">
        <v>114</v>
      </c>
      <c r="F54" s="4">
        <v>46145</v>
      </c>
      <c r="G54" s="3" t="s">
        <v>43</v>
      </c>
      <c r="H54" s="5">
        <v>99999</v>
      </c>
      <c r="I54" s="5">
        <v>49999</v>
      </c>
      <c r="J54" s="3" t="s">
        <v>44</v>
      </c>
      <c r="K54" s="8">
        <v>25</v>
      </c>
    </row>
    <row r="55" spans="1:11" ht="27">
      <c r="A55" s="3" t="s">
        <v>11</v>
      </c>
      <c r="B55" s="3" t="s">
        <v>25</v>
      </c>
      <c r="C55" s="3" t="s">
        <v>32</v>
      </c>
      <c r="D55" s="3" t="s">
        <v>115</v>
      </c>
      <c r="E55" s="3" t="s">
        <v>116</v>
      </c>
      <c r="F55" s="4">
        <v>46103</v>
      </c>
      <c r="G55" s="3" t="s">
        <v>48</v>
      </c>
      <c r="H55" s="5">
        <v>65000</v>
      </c>
      <c r="I55" s="5">
        <v>15000</v>
      </c>
      <c r="J55" s="3" t="s">
        <v>53</v>
      </c>
      <c r="K55" s="8">
        <v>29</v>
      </c>
    </row>
    <row r="56" spans="1:11" ht="27">
      <c r="A56" s="3" t="s">
        <v>39</v>
      </c>
      <c r="B56" s="3" t="s">
        <v>31</v>
      </c>
      <c r="C56" s="3" t="s">
        <v>26</v>
      </c>
      <c r="D56" s="3" t="s">
        <v>46</v>
      </c>
      <c r="E56" s="3" t="s">
        <v>90</v>
      </c>
      <c r="F56" s="4">
        <v>45944</v>
      </c>
      <c r="G56" s="3" t="s">
        <v>91</v>
      </c>
      <c r="H56" s="5">
        <v>75000</v>
      </c>
      <c r="I56" s="5">
        <v>20000</v>
      </c>
      <c r="J56" s="3" t="s">
        <v>44</v>
      </c>
      <c r="K56" s="8">
        <v>23</v>
      </c>
    </row>
    <row r="57" spans="1:11" ht="27">
      <c r="A57" s="3" t="s">
        <v>24</v>
      </c>
      <c r="B57" s="3" t="s">
        <v>54</v>
      </c>
      <c r="C57" s="3" t="s">
        <v>13</v>
      </c>
      <c r="D57" s="3" t="s">
        <v>78</v>
      </c>
      <c r="E57" s="3" t="s">
        <v>117</v>
      </c>
      <c r="F57" s="4">
        <v>46098</v>
      </c>
      <c r="G57" s="3" t="s">
        <v>16</v>
      </c>
      <c r="H57" s="5">
        <v>65000</v>
      </c>
      <c r="I57" s="5">
        <v>15000</v>
      </c>
      <c r="J57" s="3" t="s">
        <v>63</v>
      </c>
      <c r="K57" s="8">
        <v>21</v>
      </c>
    </row>
    <row r="58" spans="1:11">
      <c r="A58" s="3" t="s">
        <v>73</v>
      </c>
      <c r="B58" s="3" t="s">
        <v>49</v>
      </c>
      <c r="C58" s="3" t="s">
        <v>55</v>
      </c>
      <c r="D58" s="3" t="s">
        <v>36</v>
      </c>
      <c r="E58" s="3" t="s">
        <v>118</v>
      </c>
      <c r="F58" s="4">
        <v>46110</v>
      </c>
      <c r="G58" s="3" t="s">
        <v>91</v>
      </c>
      <c r="H58" s="5">
        <v>35000</v>
      </c>
      <c r="I58" s="5">
        <v>0</v>
      </c>
      <c r="J58" s="3" t="s">
        <v>23</v>
      </c>
      <c r="K58" s="8">
        <v>20</v>
      </c>
    </row>
    <row r="59" spans="1:11">
      <c r="A59" s="3" t="s">
        <v>11</v>
      </c>
      <c r="B59" s="3" t="s">
        <v>12</v>
      </c>
      <c r="C59" s="3" t="s">
        <v>96</v>
      </c>
      <c r="D59" s="3" t="s">
        <v>61</v>
      </c>
      <c r="E59" s="3" t="s">
        <v>119</v>
      </c>
      <c r="F59" s="4">
        <v>46009</v>
      </c>
      <c r="G59" s="3" t="s">
        <v>43</v>
      </c>
      <c r="H59" s="5">
        <v>45000</v>
      </c>
      <c r="I59" s="5">
        <v>20000</v>
      </c>
      <c r="J59" s="3" t="s">
        <v>63</v>
      </c>
      <c r="K59" s="8">
        <v>23</v>
      </c>
    </row>
    <row r="60" spans="1:11" ht="27">
      <c r="A60" s="3" t="s">
        <v>73</v>
      </c>
      <c r="B60" s="3" t="s">
        <v>25</v>
      </c>
      <c r="C60" s="3" t="s">
        <v>13</v>
      </c>
      <c r="D60" s="3" t="s">
        <v>78</v>
      </c>
      <c r="E60" s="3" t="s">
        <v>120</v>
      </c>
      <c r="F60" s="4">
        <v>46016</v>
      </c>
      <c r="G60" s="3" t="s">
        <v>16</v>
      </c>
      <c r="H60" s="5">
        <v>85000</v>
      </c>
      <c r="I60" s="5">
        <v>10000</v>
      </c>
      <c r="J60" s="3" t="s">
        <v>69</v>
      </c>
      <c r="K60" s="8">
        <v>24</v>
      </c>
    </row>
    <row r="61" spans="1:11">
      <c r="A61" s="3" t="s">
        <v>18</v>
      </c>
      <c r="B61" s="3" t="s">
        <v>19</v>
      </c>
      <c r="C61" s="3" t="s">
        <v>26</v>
      </c>
      <c r="D61" s="3" t="s">
        <v>64</v>
      </c>
      <c r="E61" s="3" t="s">
        <v>37</v>
      </c>
      <c r="F61" s="4">
        <v>46134</v>
      </c>
      <c r="G61" s="3" t="s">
        <v>38</v>
      </c>
      <c r="H61" s="5">
        <v>55000</v>
      </c>
      <c r="I61" s="5">
        <v>15000</v>
      </c>
      <c r="J61" s="3" t="s">
        <v>30</v>
      </c>
      <c r="K61" s="8">
        <v>21</v>
      </c>
    </row>
    <row r="62" spans="1:11">
      <c r="A62" s="3" t="s">
        <v>11</v>
      </c>
      <c r="B62" s="3" t="s">
        <v>40</v>
      </c>
      <c r="C62" s="3" t="s">
        <v>45</v>
      </c>
      <c r="D62" s="3" t="s">
        <v>64</v>
      </c>
      <c r="E62" s="3" t="s">
        <v>121</v>
      </c>
      <c r="F62" s="4">
        <v>45952</v>
      </c>
      <c r="G62" s="3" t="s">
        <v>29</v>
      </c>
      <c r="H62" s="5">
        <v>99999</v>
      </c>
      <c r="I62" s="5">
        <v>49999</v>
      </c>
      <c r="J62" s="3" t="s">
        <v>69</v>
      </c>
      <c r="K62" s="8">
        <v>23</v>
      </c>
    </row>
    <row r="63" spans="1:11">
      <c r="A63" s="3" t="s">
        <v>11</v>
      </c>
      <c r="B63" s="3" t="s">
        <v>25</v>
      </c>
      <c r="C63" s="3" t="s">
        <v>32</v>
      </c>
      <c r="D63" s="3" t="s">
        <v>71</v>
      </c>
      <c r="E63" s="3" t="s">
        <v>122</v>
      </c>
      <c r="F63" s="4">
        <v>45985</v>
      </c>
      <c r="G63" s="3" t="s">
        <v>94</v>
      </c>
      <c r="H63" s="5">
        <v>99999</v>
      </c>
      <c r="I63" s="5">
        <v>15000</v>
      </c>
      <c r="J63" s="3" t="s">
        <v>80</v>
      </c>
      <c r="K63" s="8">
        <v>21</v>
      </c>
    </row>
    <row r="64" spans="1:11">
      <c r="A64" s="3" t="s">
        <v>51</v>
      </c>
      <c r="B64" s="3" t="s">
        <v>84</v>
      </c>
      <c r="C64" s="3" t="s">
        <v>13</v>
      </c>
      <c r="D64" s="3" t="s">
        <v>41</v>
      </c>
      <c r="E64" s="3" t="s">
        <v>123</v>
      </c>
      <c r="F64" s="4">
        <v>46206</v>
      </c>
      <c r="G64" s="3" t="s">
        <v>43</v>
      </c>
      <c r="H64" s="5">
        <v>85000</v>
      </c>
      <c r="I64" s="5">
        <v>42500</v>
      </c>
      <c r="J64" s="3" t="s">
        <v>30</v>
      </c>
      <c r="K64" s="8">
        <v>26</v>
      </c>
    </row>
    <row r="65" spans="1:11" ht="27">
      <c r="A65" s="3" t="s">
        <v>24</v>
      </c>
      <c r="B65" s="3" t="s">
        <v>49</v>
      </c>
      <c r="C65" s="3" t="s">
        <v>96</v>
      </c>
      <c r="D65" s="3" t="s">
        <v>75</v>
      </c>
      <c r="E65" s="3" t="s">
        <v>124</v>
      </c>
      <c r="F65" s="4">
        <v>46168</v>
      </c>
      <c r="G65" s="3" t="s">
        <v>29</v>
      </c>
      <c r="H65" s="5">
        <v>55000</v>
      </c>
      <c r="I65" s="5">
        <v>5000</v>
      </c>
      <c r="J65" s="3" t="s">
        <v>53</v>
      </c>
      <c r="K65" s="8">
        <v>24</v>
      </c>
    </row>
    <row r="66" spans="1:11">
      <c r="A66" s="3" t="s">
        <v>11</v>
      </c>
      <c r="B66" s="3" t="s">
        <v>84</v>
      </c>
      <c r="C66" s="3" t="s">
        <v>13</v>
      </c>
      <c r="D66" s="3" t="s">
        <v>33</v>
      </c>
      <c r="E66" s="3" t="s">
        <v>125</v>
      </c>
      <c r="F66" s="4">
        <v>46063</v>
      </c>
      <c r="G66" s="3" t="s">
        <v>91</v>
      </c>
      <c r="H66" s="5">
        <v>65000</v>
      </c>
      <c r="I66" s="5">
        <v>32500</v>
      </c>
      <c r="J66" s="3" t="s">
        <v>80</v>
      </c>
      <c r="K66" s="8">
        <v>27</v>
      </c>
    </row>
    <row r="67" spans="1:11" ht="27">
      <c r="A67" s="3" t="s">
        <v>11</v>
      </c>
      <c r="B67" s="3" t="s">
        <v>31</v>
      </c>
      <c r="C67" s="3" t="s">
        <v>13</v>
      </c>
      <c r="D67" s="3" t="s">
        <v>14</v>
      </c>
      <c r="E67" s="3" t="s">
        <v>126</v>
      </c>
      <c r="F67" s="4">
        <v>46139</v>
      </c>
      <c r="G67" s="3" t="s">
        <v>48</v>
      </c>
      <c r="H67" s="5">
        <v>45000</v>
      </c>
      <c r="I67" s="5">
        <v>30000</v>
      </c>
      <c r="J67" s="3" t="s">
        <v>63</v>
      </c>
      <c r="K67" s="8">
        <v>25</v>
      </c>
    </row>
    <row r="68" spans="1:11" ht="27">
      <c r="A68" s="3" t="s">
        <v>24</v>
      </c>
      <c r="B68" s="3" t="s">
        <v>40</v>
      </c>
      <c r="C68" s="3" t="s">
        <v>13</v>
      </c>
      <c r="D68" s="3" t="s">
        <v>75</v>
      </c>
      <c r="E68" s="3" t="s">
        <v>127</v>
      </c>
      <c r="F68" s="4">
        <v>46044</v>
      </c>
      <c r="G68" s="3" t="s">
        <v>29</v>
      </c>
      <c r="H68" s="5">
        <v>99999</v>
      </c>
      <c r="I68" s="5">
        <v>10000</v>
      </c>
      <c r="J68" s="3" t="s">
        <v>17</v>
      </c>
      <c r="K68" s="8">
        <v>22</v>
      </c>
    </row>
    <row r="69" spans="1:11">
      <c r="A69" s="3" t="s">
        <v>39</v>
      </c>
      <c r="B69" s="3" t="s">
        <v>12</v>
      </c>
      <c r="C69" s="3" t="s">
        <v>26</v>
      </c>
      <c r="D69" s="3" t="s">
        <v>20</v>
      </c>
      <c r="E69" s="3" t="s">
        <v>128</v>
      </c>
      <c r="F69" s="4">
        <v>46163</v>
      </c>
      <c r="G69" s="3" t="s">
        <v>43</v>
      </c>
      <c r="H69" s="5">
        <v>85000</v>
      </c>
      <c r="I69" s="5">
        <v>0</v>
      </c>
      <c r="J69" s="3" t="s">
        <v>59</v>
      </c>
      <c r="K69" s="8">
        <v>25</v>
      </c>
    </row>
    <row r="70" spans="1:11">
      <c r="A70" s="3" t="s">
        <v>24</v>
      </c>
      <c r="B70" s="3" t="s">
        <v>84</v>
      </c>
      <c r="C70" s="3" t="s">
        <v>55</v>
      </c>
      <c r="D70" s="3" t="s">
        <v>64</v>
      </c>
      <c r="E70" s="3" t="s">
        <v>129</v>
      </c>
      <c r="F70" s="4">
        <v>46025</v>
      </c>
      <c r="G70" s="3" t="s">
        <v>43</v>
      </c>
      <c r="H70" s="5">
        <v>35000</v>
      </c>
      <c r="I70" s="5">
        <v>17500</v>
      </c>
      <c r="J70" s="3" t="s">
        <v>44</v>
      </c>
      <c r="K70" s="8">
        <v>25</v>
      </c>
    </row>
    <row r="71" spans="1:11">
      <c r="A71" s="3" t="s">
        <v>24</v>
      </c>
      <c r="B71" s="3" t="s">
        <v>49</v>
      </c>
      <c r="C71" s="3" t="s">
        <v>32</v>
      </c>
      <c r="D71" s="3" t="s">
        <v>89</v>
      </c>
      <c r="E71" s="3" t="s">
        <v>130</v>
      </c>
      <c r="F71" s="4">
        <v>45938</v>
      </c>
      <c r="G71" s="3" t="s">
        <v>38</v>
      </c>
      <c r="H71" s="5">
        <v>45000</v>
      </c>
      <c r="I71" s="5">
        <v>10000</v>
      </c>
      <c r="J71" s="3" t="s">
        <v>53</v>
      </c>
      <c r="K71" s="8">
        <v>23</v>
      </c>
    </row>
    <row r="72" spans="1:11" ht="27">
      <c r="A72" s="3" t="s">
        <v>24</v>
      </c>
      <c r="B72" s="3" t="s">
        <v>31</v>
      </c>
      <c r="C72" s="3" t="s">
        <v>96</v>
      </c>
      <c r="D72" s="3" t="s">
        <v>75</v>
      </c>
      <c r="E72" s="3" t="s">
        <v>131</v>
      </c>
      <c r="F72" s="4">
        <v>45983</v>
      </c>
      <c r="G72" s="3" t="s">
        <v>48</v>
      </c>
      <c r="H72" s="5">
        <v>85000</v>
      </c>
      <c r="I72" s="5">
        <v>15000</v>
      </c>
      <c r="J72" s="3" t="s">
        <v>59</v>
      </c>
      <c r="K72" s="8">
        <v>24</v>
      </c>
    </row>
    <row r="73" spans="1:11" ht="27">
      <c r="A73" s="3" t="s">
        <v>51</v>
      </c>
      <c r="B73" s="3" t="s">
        <v>31</v>
      </c>
      <c r="C73" s="3" t="s">
        <v>45</v>
      </c>
      <c r="D73" s="3" t="s">
        <v>64</v>
      </c>
      <c r="E73" s="3" t="s">
        <v>132</v>
      </c>
      <c r="F73" s="4">
        <v>46175</v>
      </c>
      <c r="G73" s="3" t="s">
        <v>91</v>
      </c>
      <c r="H73" s="5">
        <v>45000</v>
      </c>
      <c r="I73" s="5">
        <v>10000</v>
      </c>
      <c r="J73" s="3" t="s">
        <v>53</v>
      </c>
      <c r="K73" s="8">
        <v>21</v>
      </c>
    </row>
    <row r="74" spans="1:11">
      <c r="A74" s="3" t="s">
        <v>73</v>
      </c>
      <c r="B74" s="3" t="s">
        <v>54</v>
      </c>
      <c r="C74" s="3" t="s">
        <v>96</v>
      </c>
      <c r="D74" s="3" t="s">
        <v>61</v>
      </c>
      <c r="E74" s="3" t="s">
        <v>133</v>
      </c>
      <c r="F74" s="4">
        <v>45974</v>
      </c>
      <c r="G74" s="3" t="s">
        <v>43</v>
      </c>
      <c r="H74" s="5">
        <v>45000</v>
      </c>
      <c r="I74" s="5">
        <v>10000</v>
      </c>
      <c r="J74" s="3" t="s">
        <v>80</v>
      </c>
      <c r="K74" s="8">
        <v>29</v>
      </c>
    </row>
    <row r="75" spans="1:11">
      <c r="A75" s="3" t="s">
        <v>24</v>
      </c>
      <c r="B75" s="3" t="s">
        <v>49</v>
      </c>
      <c r="C75" s="3" t="s">
        <v>32</v>
      </c>
      <c r="D75" s="3" t="s">
        <v>61</v>
      </c>
      <c r="E75" s="3" t="s">
        <v>56</v>
      </c>
      <c r="F75" s="4">
        <v>46083</v>
      </c>
      <c r="G75" s="3" t="s">
        <v>16</v>
      </c>
      <c r="H75" s="5">
        <v>65000</v>
      </c>
      <c r="I75" s="5">
        <v>15000</v>
      </c>
      <c r="J75" s="3" t="s">
        <v>23</v>
      </c>
      <c r="K75" s="8">
        <v>22</v>
      </c>
    </row>
    <row r="76" spans="1:11">
      <c r="A76" s="3" t="s">
        <v>18</v>
      </c>
      <c r="B76" s="3" t="s">
        <v>12</v>
      </c>
      <c r="C76" s="3" t="s">
        <v>13</v>
      </c>
      <c r="D76" s="3" t="s">
        <v>46</v>
      </c>
      <c r="E76" s="3" t="s">
        <v>134</v>
      </c>
      <c r="F76" s="4">
        <v>45972</v>
      </c>
      <c r="G76" s="3" t="s">
        <v>91</v>
      </c>
      <c r="H76" s="5">
        <v>85000</v>
      </c>
      <c r="I76" s="5">
        <v>30000</v>
      </c>
      <c r="J76" s="3" t="s">
        <v>17</v>
      </c>
      <c r="K76" s="8">
        <v>28</v>
      </c>
    </row>
    <row r="77" spans="1:11">
      <c r="A77" s="3" t="s">
        <v>11</v>
      </c>
      <c r="B77" s="3" t="s">
        <v>84</v>
      </c>
      <c r="C77" s="3" t="s">
        <v>55</v>
      </c>
      <c r="D77" s="3" t="s">
        <v>20</v>
      </c>
      <c r="E77" s="3" t="s">
        <v>135</v>
      </c>
      <c r="F77" s="4">
        <v>46080</v>
      </c>
      <c r="G77" s="3" t="s">
        <v>48</v>
      </c>
      <c r="H77" s="5">
        <v>65000</v>
      </c>
      <c r="I77" s="5">
        <v>15000</v>
      </c>
      <c r="J77" s="3" t="s">
        <v>30</v>
      </c>
      <c r="K77" s="8">
        <v>23</v>
      </c>
    </row>
    <row r="78" spans="1:11">
      <c r="A78" s="3" t="s">
        <v>39</v>
      </c>
      <c r="B78" s="3" t="s">
        <v>25</v>
      </c>
      <c r="C78" s="3" t="s">
        <v>13</v>
      </c>
      <c r="D78" s="3" t="s">
        <v>101</v>
      </c>
      <c r="E78" s="3" t="s">
        <v>133</v>
      </c>
      <c r="F78" s="4">
        <v>46032</v>
      </c>
      <c r="G78" s="3" t="s">
        <v>38</v>
      </c>
      <c r="H78" s="5">
        <v>85000</v>
      </c>
      <c r="I78" s="5">
        <v>10000</v>
      </c>
      <c r="J78" s="3" t="s">
        <v>53</v>
      </c>
      <c r="K78" s="8">
        <v>22</v>
      </c>
    </row>
    <row r="79" spans="1:11" ht="27">
      <c r="A79" s="3" t="s">
        <v>24</v>
      </c>
      <c r="B79" s="3" t="s">
        <v>31</v>
      </c>
      <c r="C79" s="3" t="s">
        <v>13</v>
      </c>
      <c r="D79" s="3" t="s">
        <v>64</v>
      </c>
      <c r="E79" s="3" t="s">
        <v>136</v>
      </c>
      <c r="F79" s="4">
        <v>46088</v>
      </c>
      <c r="G79" s="3" t="s">
        <v>48</v>
      </c>
      <c r="H79" s="5">
        <v>35000</v>
      </c>
      <c r="I79" s="5">
        <v>17500</v>
      </c>
      <c r="J79" s="3" t="s">
        <v>44</v>
      </c>
      <c r="K79" s="8">
        <v>27</v>
      </c>
    </row>
    <row r="80" spans="1:11">
      <c r="A80" s="3" t="s">
        <v>35</v>
      </c>
      <c r="B80" s="3" t="s">
        <v>49</v>
      </c>
      <c r="C80" s="3" t="s">
        <v>32</v>
      </c>
      <c r="D80" s="3" t="s">
        <v>101</v>
      </c>
      <c r="E80" s="3" t="s">
        <v>123</v>
      </c>
      <c r="F80" s="4">
        <v>46187</v>
      </c>
      <c r="G80" s="3" t="s">
        <v>22</v>
      </c>
      <c r="H80" s="5">
        <v>85000</v>
      </c>
      <c r="I80" s="5">
        <v>10000</v>
      </c>
      <c r="J80" s="3" t="s">
        <v>59</v>
      </c>
      <c r="K80" s="8">
        <v>26</v>
      </c>
    </row>
    <row r="81" spans="1:11">
      <c r="A81" s="3" t="s">
        <v>18</v>
      </c>
      <c r="B81" s="3" t="s">
        <v>49</v>
      </c>
      <c r="C81" s="3" t="s">
        <v>13</v>
      </c>
      <c r="D81" s="3" t="s">
        <v>36</v>
      </c>
      <c r="E81" s="3" t="s">
        <v>137</v>
      </c>
      <c r="F81" s="4">
        <v>46048</v>
      </c>
      <c r="G81" s="3" t="s">
        <v>38</v>
      </c>
      <c r="H81" s="5">
        <v>75000</v>
      </c>
      <c r="I81" s="5">
        <v>0</v>
      </c>
      <c r="J81" s="3" t="s">
        <v>69</v>
      </c>
      <c r="K81" s="8">
        <v>24</v>
      </c>
    </row>
    <row r="82" spans="1:11" ht="27">
      <c r="A82" s="3" t="s">
        <v>39</v>
      </c>
      <c r="B82" s="3" t="s">
        <v>54</v>
      </c>
      <c r="C82" s="3" t="s">
        <v>55</v>
      </c>
      <c r="D82" s="3" t="s">
        <v>14</v>
      </c>
      <c r="E82" s="3" t="s">
        <v>138</v>
      </c>
      <c r="F82" s="4">
        <v>46196</v>
      </c>
      <c r="G82" s="3" t="s">
        <v>48</v>
      </c>
      <c r="H82" s="5">
        <v>99999</v>
      </c>
      <c r="I82" s="5">
        <v>15000</v>
      </c>
      <c r="J82" s="3" t="s">
        <v>30</v>
      </c>
      <c r="K82" s="8">
        <v>28</v>
      </c>
    </row>
    <row r="83" spans="1:11">
      <c r="A83" s="3" t="s">
        <v>24</v>
      </c>
      <c r="B83" s="3" t="s">
        <v>54</v>
      </c>
      <c r="C83" s="3" t="s">
        <v>13</v>
      </c>
      <c r="D83" s="3" t="s">
        <v>20</v>
      </c>
      <c r="E83" s="3" t="s">
        <v>139</v>
      </c>
      <c r="F83" s="4">
        <v>46095</v>
      </c>
      <c r="G83" s="3" t="s">
        <v>48</v>
      </c>
      <c r="H83" s="5">
        <v>65000</v>
      </c>
      <c r="I83" s="5">
        <v>10000</v>
      </c>
      <c r="J83" s="3" t="s">
        <v>44</v>
      </c>
      <c r="K83" s="8">
        <v>23</v>
      </c>
    </row>
    <row r="84" spans="1:11">
      <c r="A84" s="3" t="s">
        <v>24</v>
      </c>
      <c r="B84" s="3" t="s">
        <v>40</v>
      </c>
      <c r="C84" s="3" t="s">
        <v>45</v>
      </c>
      <c r="D84" s="3" t="s">
        <v>64</v>
      </c>
      <c r="E84" s="3" t="s">
        <v>140</v>
      </c>
      <c r="F84" s="4">
        <v>45949</v>
      </c>
      <c r="G84" s="3" t="s">
        <v>22</v>
      </c>
      <c r="H84" s="5">
        <v>85000</v>
      </c>
      <c r="I84" s="5">
        <v>42500</v>
      </c>
      <c r="J84" s="3" t="s">
        <v>80</v>
      </c>
      <c r="K84" s="8">
        <v>25</v>
      </c>
    </row>
    <row r="85" spans="1:11">
      <c r="A85" s="3" t="s">
        <v>39</v>
      </c>
      <c r="B85" s="3" t="s">
        <v>40</v>
      </c>
      <c r="C85" s="3" t="s">
        <v>45</v>
      </c>
      <c r="D85" s="3" t="s">
        <v>61</v>
      </c>
      <c r="E85" s="3" t="s">
        <v>141</v>
      </c>
      <c r="F85" s="4">
        <v>46208</v>
      </c>
      <c r="G85" s="3" t="s">
        <v>48</v>
      </c>
      <c r="H85" s="5">
        <v>99999</v>
      </c>
      <c r="I85" s="5">
        <v>30000</v>
      </c>
      <c r="J85" s="3" t="s">
        <v>63</v>
      </c>
      <c r="K85" s="8">
        <v>20</v>
      </c>
    </row>
    <row r="86" spans="1:11" ht="27">
      <c r="A86" s="3" t="s">
        <v>35</v>
      </c>
      <c r="B86" s="3" t="s">
        <v>49</v>
      </c>
      <c r="C86" s="3" t="s">
        <v>13</v>
      </c>
      <c r="D86" s="3" t="s">
        <v>14</v>
      </c>
      <c r="E86" s="3" t="s">
        <v>142</v>
      </c>
      <c r="F86" s="4">
        <v>45998</v>
      </c>
      <c r="G86" s="3" t="s">
        <v>43</v>
      </c>
      <c r="H86" s="5">
        <v>99999</v>
      </c>
      <c r="I86" s="5">
        <v>10000</v>
      </c>
      <c r="J86" s="3" t="s">
        <v>53</v>
      </c>
      <c r="K86" s="8">
        <v>23</v>
      </c>
    </row>
    <row r="87" spans="1:11" ht="27">
      <c r="A87" s="3" t="s">
        <v>51</v>
      </c>
      <c r="B87" s="3" t="s">
        <v>12</v>
      </c>
      <c r="C87" s="3" t="s">
        <v>26</v>
      </c>
      <c r="D87" s="3" t="s">
        <v>14</v>
      </c>
      <c r="E87" s="3" t="s">
        <v>143</v>
      </c>
      <c r="F87" s="4">
        <v>46046</v>
      </c>
      <c r="G87" s="3" t="s">
        <v>94</v>
      </c>
      <c r="H87" s="5">
        <v>55000</v>
      </c>
      <c r="I87" s="5">
        <v>0</v>
      </c>
      <c r="J87" s="3" t="s">
        <v>63</v>
      </c>
      <c r="K87" s="8">
        <v>20</v>
      </c>
    </row>
    <row r="88" spans="1:11" ht="27">
      <c r="A88" s="3" t="s">
        <v>51</v>
      </c>
      <c r="B88" s="3" t="s">
        <v>19</v>
      </c>
      <c r="C88" s="3" t="s">
        <v>13</v>
      </c>
      <c r="D88" s="3" t="s">
        <v>75</v>
      </c>
      <c r="E88" s="3" t="s">
        <v>144</v>
      </c>
      <c r="F88" s="4">
        <v>46070</v>
      </c>
      <c r="G88" s="3" t="s">
        <v>94</v>
      </c>
      <c r="H88" s="5">
        <v>85000</v>
      </c>
      <c r="I88" s="5">
        <v>30000</v>
      </c>
      <c r="J88" s="3" t="s">
        <v>17</v>
      </c>
      <c r="K88" s="8">
        <v>25</v>
      </c>
    </row>
    <row r="89" spans="1:11">
      <c r="A89" s="3" t="s">
        <v>73</v>
      </c>
      <c r="B89" s="3" t="s">
        <v>54</v>
      </c>
      <c r="C89" s="3" t="s">
        <v>45</v>
      </c>
      <c r="D89" s="3" t="s">
        <v>41</v>
      </c>
      <c r="E89" s="3" t="s">
        <v>145</v>
      </c>
      <c r="F89" s="4">
        <v>46000</v>
      </c>
      <c r="G89" s="3" t="s">
        <v>38</v>
      </c>
      <c r="H89" s="5">
        <v>45000</v>
      </c>
      <c r="I89" s="5">
        <v>20000</v>
      </c>
      <c r="J89" s="3" t="s">
        <v>69</v>
      </c>
      <c r="K89" s="8">
        <v>26</v>
      </c>
    </row>
    <row r="90" spans="1:11" ht="27">
      <c r="A90" s="3" t="s">
        <v>18</v>
      </c>
      <c r="B90" s="3" t="s">
        <v>31</v>
      </c>
      <c r="C90" s="3" t="s">
        <v>55</v>
      </c>
      <c r="D90" s="3" t="s">
        <v>41</v>
      </c>
      <c r="E90" s="3" t="s">
        <v>146</v>
      </c>
      <c r="F90" s="4">
        <v>46181</v>
      </c>
      <c r="G90" s="3" t="s">
        <v>29</v>
      </c>
      <c r="H90" s="5">
        <v>55000</v>
      </c>
      <c r="I90" s="5">
        <v>27500</v>
      </c>
      <c r="J90" s="3" t="s">
        <v>80</v>
      </c>
      <c r="K90" s="8">
        <v>24</v>
      </c>
    </row>
    <row r="91" spans="1:11" ht="27">
      <c r="A91" s="3" t="s">
        <v>18</v>
      </c>
      <c r="B91" s="3" t="s">
        <v>54</v>
      </c>
      <c r="C91" s="3" t="s">
        <v>26</v>
      </c>
      <c r="D91" s="3" t="s">
        <v>27</v>
      </c>
      <c r="E91" s="3" t="s">
        <v>95</v>
      </c>
      <c r="F91" s="4">
        <v>46095</v>
      </c>
      <c r="G91" s="3" t="s">
        <v>22</v>
      </c>
      <c r="H91" s="5">
        <v>99999</v>
      </c>
      <c r="I91" s="5">
        <v>0</v>
      </c>
      <c r="J91" s="3" t="s">
        <v>69</v>
      </c>
      <c r="K91" s="8">
        <v>21</v>
      </c>
    </row>
    <row r="92" spans="1:11">
      <c r="A92" s="3" t="s">
        <v>51</v>
      </c>
      <c r="B92" s="3" t="s">
        <v>49</v>
      </c>
      <c r="C92" s="3" t="s">
        <v>55</v>
      </c>
      <c r="D92" s="3" t="s">
        <v>46</v>
      </c>
      <c r="E92" s="3" t="s">
        <v>147</v>
      </c>
      <c r="F92" s="4">
        <v>46126</v>
      </c>
      <c r="G92" s="3" t="s">
        <v>29</v>
      </c>
      <c r="H92" s="5">
        <v>55000</v>
      </c>
      <c r="I92" s="5">
        <v>30000</v>
      </c>
      <c r="J92" s="3" t="s">
        <v>30</v>
      </c>
      <c r="K92" s="8">
        <v>23</v>
      </c>
    </row>
    <row r="93" spans="1:11">
      <c r="A93" s="3" t="s">
        <v>51</v>
      </c>
      <c r="B93" s="3" t="s">
        <v>25</v>
      </c>
      <c r="C93" s="3" t="s">
        <v>96</v>
      </c>
      <c r="D93" s="3" t="s">
        <v>64</v>
      </c>
      <c r="E93" s="3" t="s">
        <v>148</v>
      </c>
      <c r="F93" s="4">
        <v>46200</v>
      </c>
      <c r="G93" s="3" t="s">
        <v>48</v>
      </c>
      <c r="H93" s="5">
        <v>99999</v>
      </c>
      <c r="I93" s="5">
        <v>0</v>
      </c>
      <c r="J93" s="3" t="s">
        <v>44</v>
      </c>
      <c r="K93" s="8">
        <v>29</v>
      </c>
    </row>
    <row r="94" spans="1:11">
      <c r="A94" s="3" t="s">
        <v>51</v>
      </c>
      <c r="B94" s="3" t="s">
        <v>40</v>
      </c>
      <c r="C94" s="3" t="s">
        <v>26</v>
      </c>
      <c r="D94" s="3" t="s">
        <v>64</v>
      </c>
      <c r="E94" s="3" t="s">
        <v>149</v>
      </c>
      <c r="F94" s="4">
        <v>45972</v>
      </c>
      <c r="G94" s="3" t="s">
        <v>48</v>
      </c>
      <c r="H94" s="5">
        <v>55000</v>
      </c>
      <c r="I94" s="5">
        <v>0</v>
      </c>
      <c r="J94" s="3" t="s">
        <v>80</v>
      </c>
      <c r="K94" s="8">
        <v>25</v>
      </c>
    </row>
    <row r="95" spans="1:11">
      <c r="A95" s="3" t="s">
        <v>51</v>
      </c>
      <c r="B95" s="3" t="s">
        <v>12</v>
      </c>
      <c r="C95" s="3" t="s">
        <v>26</v>
      </c>
      <c r="D95" s="3" t="s">
        <v>64</v>
      </c>
      <c r="E95" s="3" t="s">
        <v>150</v>
      </c>
      <c r="F95" s="4">
        <v>46078</v>
      </c>
      <c r="G95" s="3" t="s">
        <v>16</v>
      </c>
      <c r="H95" s="5">
        <v>35000</v>
      </c>
      <c r="I95" s="5">
        <v>0</v>
      </c>
      <c r="J95" s="3" t="s">
        <v>63</v>
      </c>
      <c r="K95" s="8">
        <v>23</v>
      </c>
    </row>
    <row r="96" spans="1:11">
      <c r="A96" s="3" t="s">
        <v>24</v>
      </c>
      <c r="B96" s="3" t="s">
        <v>40</v>
      </c>
      <c r="C96" s="3" t="s">
        <v>55</v>
      </c>
      <c r="D96" s="3" t="s">
        <v>64</v>
      </c>
      <c r="E96" s="3" t="s">
        <v>151</v>
      </c>
      <c r="F96" s="4">
        <v>45954</v>
      </c>
      <c r="G96" s="3" t="s">
        <v>22</v>
      </c>
      <c r="H96" s="5">
        <v>45000</v>
      </c>
      <c r="I96" s="5">
        <v>0</v>
      </c>
      <c r="J96" s="3" t="s">
        <v>53</v>
      </c>
      <c r="K96" s="8">
        <v>27</v>
      </c>
    </row>
    <row r="97" spans="1:11">
      <c r="A97" s="3" t="s">
        <v>18</v>
      </c>
      <c r="B97" s="3" t="s">
        <v>54</v>
      </c>
      <c r="C97" s="3" t="s">
        <v>26</v>
      </c>
      <c r="D97" s="3" t="s">
        <v>64</v>
      </c>
      <c r="E97" s="3" t="s">
        <v>152</v>
      </c>
      <c r="F97" s="4">
        <v>46023</v>
      </c>
      <c r="G97" s="3" t="s">
        <v>43</v>
      </c>
      <c r="H97" s="5">
        <v>45000</v>
      </c>
      <c r="I97" s="5">
        <v>22500</v>
      </c>
      <c r="J97" s="3" t="s">
        <v>63</v>
      </c>
      <c r="K97" s="8">
        <v>26</v>
      </c>
    </row>
    <row r="98" spans="1:11" ht="27">
      <c r="A98" s="3" t="s">
        <v>73</v>
      </c>
      <c r="B98" s="3" t="s">
        <v>31</v>
      </c>
      <c r="C98" s="3" t="s">
        <v>13</v>
      </c>
      <c r="D98" s="3" t="s">
        <v>64</v>
      </c>
      <c r="E98" s="3" t="s">
        <v>153</v>
      </c>
      <c r="F98" s="4">
        <v>46061</v>
      </c>
      <c r="G98" s="3" t="s">
        <v>38</v>
      </c>
      <c r="H98" s="5">
        <v>75000</v>
      </c>
      <c r="I98" s="5">
        <v>15000</v>
      </c>
      <c r="J98" s="3" t="s">
        <v>80</v>
      </c>
      <c r="K98" s="8">
        <v>27</v>
      </c>
    </row>
    <row r="99" spans="1:11">
      <c r="A99" s="3" t="s">
        <v>51</v>
      </c>
      <c r="B99" s="3" t="s">
        <v>84</v>
      </c>
      <c r="C99" s="3" t="s">
        <v>13</v>
      </c>
      <c r="D99" s="3" t="s">
        <v>64</v>
      </c>
      <c r="E99" s="3" t="s">
        <v>154</v>
      </c>
      <c r="F99" s="4">
        <v>46084</v>
      </c>
      <c r="G99" s="3" t="s">
        <v>22</v>
      </c>
      <c r="H99" s="5">
        <v>45000</v>
      </c>
      <c r="I99" s="5">
        <v>10000</v>
      </c>
      <c r="J99" s="3" t="s">
        <v>63</v>
      </c>
      <c r="K99" s="8">
        <v>22</v>
      </c>
    </row>
    <row r="100" spans="1:11">
      <c r="A100" s="3" t="s">
        <v>35</v>
      </c>
      <c r="B100" s="3" t="s">
        <v>54</v>
      </c>
      <c r="C100" s="3" t="s">
        <v>13</v>
      </c>
      <c r="D100" s="3" t="s">
        <v>64</v>
      </c>
      <c r="E100" s="3" t="s">
        <v>155</v>
      </c>
      <c r="F100" s="4">
        <v>46114</v>
      </c>
      <c r="G100" s="3" t="s">
        <v>91</v>
      </c>
      <c r="H100" s="5">
        <v>35000</v>
      </c>
      <c r="I100" s="5">
        <v>20000</v>
      </c>
      <c r="J100" s="3" t="s">
        <v>69</v>
      </c>
      <c r="K100" s="8">
        <v>24</v>
      </c>
    </row>
    <row r="101" spans="1:11" ht="27">
      <c r="A101" s="3" t="s">
        <v>18</v>
      </c>
      <c r="B101" s="3" t="s">
        <v>40</v>
      </c>
      <c r="C101" s="3" t="s">
        <v>55</v>
      </c>
      <c r="D101" s="3" t="s">
        <v>27</v>
      </c>
      <c r="E101" s="3" t="s">
        <v>156</v>
      </c>
      <c r="F101" s="4">
        <v>46077</v>
      </c>
      <c r="G101" s="3" t="s">
        <v>43</v>
      </c>
      <c r="H101" s="5">
        <v>75000</v>
      </c>
      <c r="I101" s="5">
        <v>37500</v>
      </c>
      <c r="J101" s="3" t="s">
        <v>44</v>
      </c>
      <c r="K101" s="8">
        <v>22</v>
      </c>
    </row>
  </sheetData>
  <conditionalFormatting sqref="C2:C101">
    <cfRule type="expression" dxfId="2" priority="2">
      <formula>C2="Admitted"</formula>
    </cfRule>
    <cfRule type="expression" dxfId="1" priority="3">
      <formula>C2="Payment Pending"</formula>
    </cfRule>
    <cfRule type="expression" dxfId="0" priority="4">
      <formula>C2="Follow-up"</formula>
    </cfRule>
  </conditionalFormatting>
  <conditionalFormatting sqref="I2:I101">
    <cfRule type="dataBar" priority="1">
      <dataBar>
        <cfvo type="min"/>
        <cfvo type="max"/>
        <color rgb="FFF97316"/>
      </dataBar>
    </cfRule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{6A3E8774-0E18-D23F-354E-A22C8AE72F31}</x14:id>
        </ext>
      </extLst>
    </cfRule>
  </conditionalFormatting>
  <dataValidations count="5">
    <dataValidation type="list" sqref="A2:A101" xr:uid="{00000000-0002-0000-0000-000000000000}">
      <formula1>"Pune - Kothrud,Pune - Wakad,Pune - Hadapsar,Mumbai,Nagpur,Nashik,Online"</formula1>
    </dataValidation>
    <dataValidation type="list" sqref="B2:B101" xr:uid="{00000000-0002-0000-0000-000001000000}">
      <formula1>"Instagram Ads,Facebook Ads,Google Search,Referral,College Seminar,Walk-in,YouTube,WhatsApp Campaign"</formula1>
    </dataValidation>
    <dataValidation type="list" sqref="C2:C101" xr:uid="{00000000-0002-0000-0000-000002000000}">
      <formula1>"Admitted,Active Lead,Closed,Follow-up,Demo Attended,Payment Pending"</formula1>
    </dataValidation>
    <dataValidation type="list" sqref="G2:G101" xr:uid="{00000000-0002-0000-0000-000003000000}">
      <formula1>"Shubhangi,Himani,Sunil,Renuka,Ishwari,Pragati,Tanuja,Admin Team"</formula1>
    </dataValidation>
    <dataValidation type="list" sqref="J2:J101" xr:uid="{00000000-0002-0000-0000-000004000000}">
      <formula1>"Java Full Stack,Python Full Stack,Software Testing,Data Analytics,Data Science,React JS,MERN Stack,Java + Testing + React,Python + Data Analytics"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3E8774-0E18-D23F-354E-A22C8AE72F31}">
            <x14:dataBar>
              <x14:cfvo type="min"/>
              <x14:cfvo type="max"/>
              <x14:negativeFillColor auto="1"/>
              <x14:axisColor auto="1"/>
            </x14:dataBar>
          </x14:cfRule>
          <xm:sqref>I2:I101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1"/>
    </sheetView>
  </sheetViews>
  <sheetFormatPr defaultRowHeight="13.5"/>
  <cols>
    <col min="1" max="1" width="26" customWidth="1"/>
    <col min="2" max="2" width="18" customWidth="1"/>
  </cols>
  <sheetData>
    <row r="1" spans="1:5" ht="15" customHeight="1">
      <c r="A1" s="9" t="s">
        <v>157</v>
      </c>
      <c r="B1" s="10"/>
      <c r="C1" s="10"/>
      <c r="D1" s="10"/>
      <c r="E1" s="10"/>
    </row>
    <row r="3" spans="1:5" ht="13.9">
      <c r="A3" s="1" t="s">
        <v>158</v>
      </c>
      <c r="B3" s="1" t="s">
        <v>159</v>
      </c>
    </row>
    <row r="4" spans="1:5" ht="13.9">
      <c r="A4" s="6" t="s">
        <v>160</v>
      </c>
      <c r="B4">
        <f>COUNTA('Student Data'!E2:E101)</f>
        <v>100</v>
      </c>
    </row>
    <row r="5" spans="1:5" ht="13.9">
      <c r="A5" s="6" t="s">
        <v>7</v>
      </c>
      <c r="B5" s="7">
        <f>SUM('Student Data'!H2:H101)</f>
        <v>6524983</v>
      </c>
    </row>
    <row r="6" spans="1:5" ht="13.9">
      <c r="A6" s="6" t="s">
        <v>8</v>
      </c>
      <c r="B6" s="7">
        <f>SUM('Student Data'!I2:I101)</f>
        <v>1784997</v>
      </c>
    </row>
    <row r="7" spans="1:5" ht="13.9">
      <c r="A7" s="6" t="s">
        <v>161</v>
      </c>
      <c r="B7">
        <f>COUNTIF('Student Data'!C2:C101,"Admitted")</f>
        <v>35</v>
      </c>
    </row>
    <row r="8" spans="1:5" ht="13.9">
      <c r="A8" s="6" t="s">
        <v>162</v>
      </c>
      <c r="B8">
        <f>COUNTIF('Student Data'!C2:C101,"Payment Pending")</f>
        <v>10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Digrase</dc:creator>
  <cp:lastModifiedBy>Office</cp:lastModifiedBy>
  <dcterms:created xsi:type="dcterms:W3CDTF">2026-07-06T11:20:46Z</dcterms:created>
  <dcterms:modified xsi:type="dcterms:W3CDTF">2026-07-06T11:41:43Z</dcterms:modified>
</cp:coreProperties>
</file>