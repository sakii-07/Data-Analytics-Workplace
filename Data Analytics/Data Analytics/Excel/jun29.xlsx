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Github\Data-Analytics-Workplace\Data Analytics\Data Analytics\Excel\"/>
    </mc:Choice>
  </mc:AlternateContent>
  <bookViews>
    <workbookView xWindow="0" yWindow="0" windowWidth="19200" windowHeight="6930" activeTab="2"/>
  </bookViews>
  <sheets>
    <sheet name="Sheet1" sheetId="1" r:id="rId1"/>
    <sheet name="Sheet2" sheetId="2" r:id="rId2"/>
    <sheet name="Sheet3" sheetId="3" r:id="rId3"/>
    <sheet name="Sheet4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3" l="1"/>
  <c r="K4" i="3"/>
  <c r="K3" i="3"/>
  <c r="K21" i="3"/>
  <c r="K17" i="3"/>
  <c r="G3" i="4" l="1"/>
  <c r="G4" i="4"/>
  <c r="G5" i="4"/>
  <c r="G6" i="4"/>
  <c r="G2" i="4"/>
  <c r="F3" i="4"/>
  <c r="F4" i="4"/>
  <c r="F5" i="4"/>
  <c r="F6" i="4"/>
  <c r="F2" i="4"/>
  <c r="E3" i="4"/>
  <c r="E4" i="4"/>
  <c r="E5" i="4"/>
  <c r="E6" i="4"/>
  <c r="E2" i="4"/>
  <c r="C3" i="4"/>
  <c r="C4" i="4"/>
  <c r="C5" i="4"/>
  <c r="C6" i="4"/>
  <c r="C2" i="4"/>
  <c r="B3" i="4"/>
  <c r="B4" i="4"/>
  <c r="B5" i="4"/>
  <c r="B6" i="4"/>
  <c r="B2" i="4"/>
  <c r="K22" i="3"/>
  <c r="K18" i="3"/>
  <c r="K8" i="3"/>
  <c r="K9" i="3"/>
  <c r="K6" i="3"/>
  <c r="K5" i="3"/>
  <c r="E10" i="2"/>
  <c r="E12" i="2"/>
  <c r="E11" i="2"/>
  <c r="I3" i="2"/>
  <c r="I4" i="2"/>
  <c r="I5" i="2"/>
  <c r="I6" i="2"/>
  <c r="H3" i="2"/>
  <c r="H4" i="2"/>
  <c r="H5" i="2"/>
  <c r="H6" i="2"/>
  <c r="E2" i="2"/>
  <c r="G3" i="2"/>
  <c r="G4" i="2"/>
  <c r="G5" i="2"/>
  <c r="G6" i="2"/>
  <c r="F3" i="2"/>
  <c r="F4" i="2"/>
  <c r="F5" i="2"/>
  <c r="F6" i="2"/>
  <c r="E3" i="2"/>
  <c r="E4" i="2"/>
  <c r="E5" i="2"/>
  <c r="E6" i="2"/>
  <c r="I2" i="2"/>
  <c r="H2" i="2"/>
  <c r="G2" i="2"/>
  <c r="F2" i="2"/>
  <c r="D3" i="2"/>
  <c r="D4" i="2"/>
  <c r="D5" i="2"/>
  <c r="D6" i="2"/>
  <c r="D2" i="2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O2" i="1"/>
  <c r="N2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2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7" i="1"/>
  <c r="J3" i="1"/>
  <c r="J4" i="1"/>
  <c r="J5" i="1"/>
  <c r="J6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2" i="1"/>
  <c r="H2" i="4"/>
  <c r="K14" i="3"/>
  <c r="K13" i="3"/>
</calcChain>
</file>

<file path=xl/sharedStrings.xml><?xml version="1.0" encoding="utf-8"?>
<sst xmlns="http://schemas.openxmlformats.org/spreadsheetml/2006/main" count="297" uniqueCount="79">
  <si>
    <t>Course</t>
  </si>
  <si>
    <t>Marks</t>
  </si>
  <si>
    <t>Attendance_%</t>
  </si>
  <si>
    <t>Fees_Paid</t>
  </si>
  <si>
    <t>Gender</t>
  </si>
  <si>
    <t>DA</t>
  </si>
  <si>
    <t>Male</t>
  </si>
  <si>
    <t>Python</t>
  </si>
  <si>
    <t>Female</t>
  </si>
  <si>
    <t>Java</t>
  </si>
  <si>
    <t>Testing</t>
  </si>
  <si>
    <t>Student_ID</t>
  </si>
  <si>
    <t>Name</t>
  </si>
  <si>
    <t>Branch</t>
  </si>
  <si>
    <t>Aarav</t>
  </si>
  <si>
    <t>Pune</t>
  </si>
  <si>
    <t>Vivaan</t>
  </si>
  <si>
    <t>Nagpur</t>
  </si>
  <si>
    <t>Aditya</t>
  </si>
  <si>
    <t>Mumbai</t>
  </si>
  <si>
    <t>Vihaan</t>
  </si>
  <si>
    <t>Arjun</t>
  </si>
  <si>
    <t>Sai</t>
  </si>
  <si>
    <t>Riya</t>
  </si>
  <si>
    <t>Priya</t>
  </si>
  <si>
    <t>Neha</t>
  </si>
  <si>
    <t>Ananya</t>
  </si>
  <si>
    <t>Rohit</t>
  </si>
  <si>
    <t>Karan</t>
  </si>
  <si>
    <t>Sneha</t>
  </si>
  <si>
    <t>Pooja</t>
  </si>
  <si>
    <t>Rahul</t>
  </si>
  <si>
    <t>Aditi</t>
  </si>
  <si>
    <t>Isha</t>
  </si>
  <si>
    <t>Meera</t>
  </si>
  <si>
    <t>Yash</t>
  </si>
  <si>
    <t>Om</t>
  </si>
  <si>
    <t>Sahil</t>
  </si>
  <si>
    <t>Tanvi</t>
  </si>
  <si>
    <t>Kavya</t>
  </si>
  <si>
    <t>Nikhil</t>
  </si>
  <si>
    <t>Akash</t>
  </si>
  <si>
    <t>Sakshi</t>
  </si>
  <si>
    <t>Manav</t>
  </si>
  <si>
    <t>Aryan</t>
  </si>
  <si>
    <t>Harsh</t>
  </si>
  <si>
    <t>Vaishnavi</t>
  </si>
  <si>
    <t>Lower name</t>
  </si>
  <si>
    <t>Upper name</t>
  </si>
  <si>
    <t>Concat</t>
  </si>
  <si>
    <t>proper</t>
  </si>
  <si>
    <t>left</t>
  </si>
  <si>
    <t>right</t>
  </si>
  <si>
    <t>mid</t>
  </si>
  <si>
    <t>substitude</t>
  </si>
  <si>
    <t>Replace</t>
  </si>
  <si>
    <t>day</t>
  </si>
  <si>
    <t>month</t>
  </si>
  <si>
    <t>year</t>
  </si>
  <si>
    <t>date</t>
  </si>
  <si>
    <t>today</t>
  </si>
  <si>
    <t>now</t>
  </si>
  <si>
    <t>days</t>
  </si>
  <si>
    <t>sakshi</t>
  </si>
  <si>
    <t>divya</t>
  </si>
  <si>
    <t>pranali</t>
  </si>
  <si>
    <t>amruta</t>
  </si>
  <si>
    <t>vlookup</t>
  </si>
  <si>
    <t>hlookup</t>
  </si>
  <si>
    <t>xlookup</t>
  </si>
  <si>
    <t>match</t>
  </si>
  <si>
    <t>index</t>
  </si>
  <si>
    <t>student_id</t>
  </si>
  <si>
    <t>mock rating</t>
  </si>
  <si>
    <t>name</t>
  </si>
  <si>
    <t>course</t>
  </si>
  <si>
    <t>square</t>
  </si>
  <si>
    <t>loc value</t>
  </si>
  <si>
    <t>loc(fn + f4)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</si>
</sst>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0" borderId="0" xfId="0" applyFont="1"/>
    <xf numFmtId="14" fontId="0" fillId="0" borderId="0" xfId="0" applyNumberFormat="1"/>
    <xf numFmtId="22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1"/>
  <sheetViews>
    <sheetView workbookViewId="0">
      <selection activeCell="I17" sqref="I17"/>
    </sheetView>
  </sheetViews>
  <sheetFormatPr defaultRowHeight="14.5" x14ac:dyDescent="0.35"/>
  <cols>
    <col min="9" max="9" width="11.08984375" bestFit="1" customWidth="1"/>
    <col min="10" max="10" width="11.1796875" bestFit="1" customWidth="1"/>
    <col min="11" max="12" width="16.26953125" bestFit="1" customWidth="1"/>
    <col min="16" max="16" width="17.54296875" bestFit="1" customWidth="1"/>
    <col min="17" max="17" width="17.26953125" bestFit="1" customWidth="1"/>
  </cols>
  <sheetData>
    <row r="1" spans="1:17" x14ac:dyDescent="0.35">
      <c r="A1" s="1" t="s">
        <v>11</v>
      </c>
      <c r="B1" s="1" t="s">
        <v>12</v>
      </c>
      <c r="C1" s="1" t="s">
        <v>13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  <c r="Q1" s="1" t="s">
        <v>55</v>
      </c>
    </row>
    <row r="2" spans="1:17" x14ac:dyDescent="0.35">
      <c r="A2">
        <v>1001</v>
      </c>
      <c r="B2" t="s">
        <v>14</v>
      </c>
      <c r="C2" t="s">
        <v>15</v>
      </c>
      <c r="D2" t="s">
        <v>5</v>
      </c>
      <c r="E2">
        <v>45</v>
      </c>
      <c r="F2">
        <v>60</v>
      </c>
      <c r="G2">
        <v>20000</v>
      </c>
      <c r="H2" t="s">
        <v>6</v>
      </c>
      <c r="I2" t="str">
        <f>LOWER(B2)</f>
        <v>aarav</v>
      </c>
      <c r="J2" t="str">
        <f>UPPER(B2)</f>
        <v>AARAV</v>
      </c>
      <c r="K2" t="str">
        <f>CONCATENATE(B2," ",C2)</f>
        <v>Aarav Pune</v>
      </c>
      <c r="L2" t="str">
        <f>PROPER(K2)</f>
        <v>Aarav Pune</v>
      </c>
      <c r="M2" t="str">
        <f>LEFT(L2,3)</f>
        <v>Aar</v>
      </c>
      <c r="N2" t="str">
        <f>RIGHT(L2,4)</f>
        <v>Pune</v>
      </c>
      <c r="O2" t="str">
        <f>MID(L2,3,3)</f>
        <v>rav</v>
      </c>
      <c r="P2" t="str">
        <f>SUBSTITUTE(L2,"Pune","Karve nagar")</f>
        <v>Aarav Karve nagar</v>
      </c>
      <c r="Q2" t="str">
        <f>REPLACE(L2,2,4,"Hello")</f>
        <v>AHello Pune</v>
      </c>
    </row>
    <row r="3" spans="1:17" x14ac:dyDescent="0.35">
      <c r="A3">
        <v>1002</v>
      </c>
      <c r="B3" t="s">
        <v>16</v>
      </c>
      <c r="C3" t="s">
        <v>17</v>
      </c>
      <c r="D3" t="s">
        <v>7</v>
      </c>
      <c r="E3">
        <v>48</v>
      </c>
      <c r="F3">
        <v>65</v>
      </c>
      <c r="G3">
        <v>21750</v>
      </c>
      <c r="H3" t="s">
        <v>8</v>
      </c>
      <c r="I3" t="str">
        <f t="shared" ref="I3:I31" si="0">LOWER(B3)</f>
        <v>vivaan</v>
      </c>
      <c r="J3" t="str">
        <f t="shared" ref="J3:J31" si="1">UPPER(B3)</f>
        <v>VIVAAN</v>
      </c>
      <c r="K3" t="str">
        <f t="shared" ref="K3:K31" si="2">CONCATENATE(B3," ",C3)</f>
        <v>Vivaan Nagpur</v>
      </c>
      <c r="L3" t="str">
        <f t="shared" ref="L3:L31" si="3">PROPER(K3)</f>
        <v>Vivaan Nagpur</v>
      </c>
      <c r="M3" t="str">
        <f t="shared" ref="M3:M31" si="4">LEFT(L3,3)</f>
        <v>Viv</v>
      </c>
      <c r="N3" t="str">
        <f t="shared" ref="N3:N31" si="5">RIGHT(L3,4)</f>
        <v>gpur</v>
      </c>
      <c r="O3" t="str">
        <f t="shared" ref="O3:O31" si="6">MID(L3,3,3)</f>
        <v>vaa</v>
      </c>
      <c r="P3" t="str">
        <f t="shared" ref="P3:P31" si="7">SUBSTITUTE(L3,"Pune","Karve nagar")</f>
        <v>Vivaan Nagpur</v>
      </c>
      <c r="Q3" t="str">
        <f t="shared" ref="Q3:Q31" si="8">REPLACE(L3,2,4,"Hello")</f>
        <v>VHellon Nagpur</v>
      </c>
    </row>
    <row r="4" spans="1:17" x14ac:dyDescent="0.35">
      <c r="A4">
        <v>1003</v>
      </c>
      <c r="B4" t="s">
        <v>18</v>
      </c>
      <c r="C4" t="s">
        <v>19</v>
      </c>
      <c r="D4" t="s">
        <v>9</v>
      </c>
      <c r="E4">
        <v>51</v>
      </c>
      <c r="F4">
        <v>70</v>
      </c>
      <c r="G4">
        <v>23500</v>
      </c>
      <c r="H4" t="s">
        <v>6</v>
      </c>
      <c r="I4" t="str">
        <f t="shared" si="0"/>
        <v>aditya</v>
      </c>
      <c r="J4" t="str">
        <f t="shared" si="1"/>
        <v>ADITYA</v>
      </c>
      <c r="K4" t="str">
        <f t="shared" si="2"/>
        <v>Aditya Mumbai</v>
      </c>
      <c r="L4" t="str">
        <f t="shared" si="3"/>
        <v>Aditya Mumbai</v>
      </c>
      <c r="M4" t="str">
        <f t="shared" si="4"/>
        <v>Adi</v>
      </c>
      <c r="N4" t="str">
        <f t="shared" si="5"/>
        <v>mbai</v>
      </c>
      <c r="O4" t="str">
        <f t="shared" si="6"/>
        <v>ity</v>
      </c>
      <c r="P4" t="str">
        <f t="shared" si="7"/>
        <v>Aditya Mumbai</v>
      </c>
      <c r="Q4" t="str">
        <f t="shared" si="8"/>
        <v>AHelloa Mumbai</v>
      </c>
    </row>
    <row r="5" spans="1:17" x14ac:dyDescent="0.35">
      <c r="A5">
        <v>1004</v>
      </c>
      <c r="B5" t="s">
        <v>20</v>
      </c>
      <c r="C5" t="s">
        <v>15</v>
      </c>
      <c r="D5" t="s">
        <v>10</v>
      </c>
      <c r="E5">
        <v>54</v>
      </c>
      <c r="F5">
        <v>75</v>
      </c>
      <c r="G5">
        <v>25250</v>
      </c>
      <c r="H5" t="s">
        <v>8</v>
      </c>
      <c r="I5" t="str">
        <f t="shared" si="0"/>
        <v>vihaan</v>
      </c>
      <c r="J5" t="str">
        <f t="shared" si="1"/>
        <v>VIHAAN</v>
      </c>
      <c r="K5" t="str">
        <f t="shared" si="2"/>
        <v>Vihaan Pune</v>
      </c>
      <c r="L5" t="str">
        <f t="shared" si="3"/>
        <v>Vihaan Pune</v>
      </c>
      <c r="M5" t="str">
        <f t="shared" si="4"/>
        <v>Vih</v>
      </c>
      <c r="N5" t="str">
        <f t="shared" si="5"/>
        <v>Pune</v>
      </c>
      <c r="O5" t="str">
        <f t="shared" si="6"/>
        <v>haa</v>
      </c>
      <c r="P5" t="str">
        <f t="shared" si="7"/>
        <v>Vihaan Karve nagar</v>
      </c>
      <c r="Q5" t="str">
        <f t="shared" si="8"/>
        <v>VHellon Pune</v>
      </c>
    </row>
    <row r="6" spans="1:17" x14ac:dyDescent="0.35">
      <c r="A6">
        <v>1005</v>
      </c>
      <c r="B6" t="s">
        <v>21</v>
      </c>
      <c r="C6" t="s">
        <v>17</v>
      </c>
      <c r="D6" t="s">
        <v>5</v>
      </c>
      <c r="E6">
        <v>57</v>
      </c>
      <c r="F6">
        <v>80</v>
      </c>
      <c r="G6">
        <v>27000</v>
      </c>
      <c r="H6" t="s">
        <v>6</v>
      </c>
      <c r="I6" t="str">
        <f t="shared" si="0"/>
        <v>arjun</v>
      </c>
      <c r="J6" t="str">
        <f t="shared" si="1"/>
        <v>ARJUN</v>
      </c>
      <c r="K6" t="str">
        <f t="shared" si="2"/>
        <v>Arjun Nagpur</v>
      </c>
      <c r="L6" t="str">
        <f t="shared" si="3"/>
        <v>Arjun Nagpur</v>
      </c>
      <c r="M6" t="str">
        <f t="shared" si="4"/>
        <v>Arj</v>
      </c>
      <c r="N6" t="str">
        <f t="shared" si="5"/>
        <v>gpur</v>
      </c>
      <c r="O6" t="str">
        <f t="shared" si="6"/>
        <v>jun</v>
      </c>
      <c r="P6" t="str">
        <f t="shared" si="7"/>
        <v>Arjun Nagpur</v>
      </c>
      <c r="Q6" t="str">
        <f t="shared" si="8"/>
        <v>AHello Nagpur</v>
      </c>
    </row>
    <row r="7" spans="1:17" x14ac:dyDescent="0.35">
      <c r="A7">
        <v>1006</v>
      </c>
      <c r="B7" t="s">
        <v>22</v>
      </c>
      <c r="C7" t="s">
        <v>19</v>
      </c>
      <c r="D7" t="s">
        <v>7</v>
      </c>
      <c r="E7">
        <v>60</v>
      </c>
      <c r="F7">
        <v>85</v>
      </c>
      <c r="G7">
        <v>28750</v>
      </c>
      <c r="H7" t="s">
        <v>8</v>
      </c>
      <c r="I7" t="str">
        <f t="shared" si="0"/>
        <v>sai</v>
      </c>
      <c r="J7" t="str">
        <f t="shared" si="1"/>
        <v>SAI</v>
      </c>
      <c r="K7" t="str">
        <f t="shared" si="2"/>
        <v>Sai Mumbai</v>
      </c>
      <c r="L7" t="str">
        <f t="shared" si="3"/>
        <v>Sai Mumbai</v>
      </c>
      <c r="M7" t="str">
        <f t="shared" si="4"/>
        <v>Sai</v>
      </c>
      <c r="N7" t="str">
        <f t="shared" si="5"/>
        <v>mbai</v>
      </c>
      <c r="O7" t="str">
        <f t="shared" si="6"/>
        <v>i M</v>
      </c>
      <c r="P7" t="str">
        <f t="shared" si="7"/>
        <v>Sai Mumbai</v>
      </c>
      <c r="Q7" t="str">
        <f t="shared" si="8"/>
        <v>SHelloumbai</v>
      </c>
    </row>
    <row r="8" spans="1:17" x14ac:dyDescent="0.35">
      <c r="A8">
        <v>1007</v>
      </c>
      <c r="B8" t="s">
        <v>23</v>
      </c>
      <c r="C8" t="s">
        <v>15</v>
      </c>
      <c r="D8" t="s">
        <v>9</v>
      </c>
      <c r="E8">
        <v>63</v>
      </c>
      <c r="F8">
        <v>90</v>
      </c>
      <c r="G8">
        <v>30500</v>
      </c>
      <c r="H8" t="s">
        <v>6</v>
      </c>
      <c r="I8" t="str">
        <f t="shared" si="0"/>
        <v>riya</v>
      </c>
      <c r="J8" t="str">
        <f t="shared" si="1"/>
        <v>RIYA</v>
      </c>
      <c r="K8" t="str">
        <f t="shared" si="2"/>
        <v>Riya Pune</v>
      </c>
      <c r="L8" t="str">
        <f t="shared" si="3"/>
        <v>Riya Pune</v>
      </c>
      <c r="M8" t="str">
        <f t="shared" si="4"/>
        <v>Riy</v>
      </c>
      <c r="N8" t="str">
        <f t="shared" si="5"/>
        <v>Pune</v>
      </c>
      <c r="O8" t="str">
        <f t="shared" si="6"/>
        <v xml:space="preserve">ya </v>
      </c>
      <c r="P8" t="str">
        <f t="shared" si="7"/>
        <v>Riya Karve nagar</v>
      </c>
      <c r="Q8" t="str">
        <f t="shared" si="8"/>
        <v>RHelloPune</v>
      </c>
    </row>
    <row r="9" spans="1:17" x14ac:dyDescent="0.35">
      <c r="A9">
        <v>1008</v>
      </c>
      <c r="B9" t="s">
        <v>24</v>
      </c>
      <c r="C9" t="s">
        <v>17</v>
      </c>
      <c r="D9" t="s">
        <v>10</v>
      </c>
      <c r="E9">
        <v>66</v>
      </c>
      <c r="F9">
        <v>95</v>
      </c>
      <c r="G9">
        <v>32250</v>
      </c>
      <c r="H9" t="s">
        <v>8</v>
      </c>
      <c r="I9" t="str">
        <f t="shared" si="0"/>
        <v>priya</v>
      </c>
      <c r="J9" t="str">
        <f t="shared" si="1"/>
        <v>PRIYA</v>
      </c>
      <c r="K9" t="str">
        <f t="shared" si="2"/>
        <v>Priya Nagpur</v>
      </c>
      <c r="L9" t="str">
        <f t="shared" si="3"/>
        <v>Priya Nagpur</v>
      </c>
      <c r="M9" t="str">
        <f t="shared" si="4"/>
        <v>Pri</v>
      </c>
      <c r="N9" t="str">
        <f t="shared" si="5"/>
        <v>gpur</v>
      </c>
      <c r="O9" t="str">
        <f t="shared" si="6"/>
        <v>iya</v>
      </c>
      <c r="P9" t="str">
        <f t="shared" si="7"/>
        <v>Priya Nagpur</v>
      </c>
      <c r="Q9" t="str">
        <f t="shared" si="8"/>
        <v>PHello Nagpur</v>
      </c>
    </row>
    <row r="10" spans="1:17" x14ac:dyDescent="0.35">
      <c r="A10">
        <v>1009</v>
      </c>
      <c r="B10" t="s">
        <v>25</v>
      </c>
      <c r="C10" t="s">
        <v>19</v>
      </c>
      <c r="D10" t="s">
        <v>5</v>
      </c>
      <c r="E10">
        <v>69</v>
      </c>
      <c r="F10">
        <v>100</v>
      </c>
      <c r="G10">
        <v>34000</v>
      </c>
      <c r="H10" t="s">
        <v>6</v>
      </c>
      <c r="I10" t="str">
        <f t="shared" si="0"/>
        <v>neha</v>
      </c>
      <c r="J10" t="str">
        <f t="shared" si="1"/>
        <v>NEHA</v>
      </c>
      <c r="K10" t="str">
        <f t="shared" si="2"/>
        <v>Neha Mumbai</v>
      </c>
      <c r="L10" t="str">
        <f t="shared" si="3"/>
        <v>Neha Mumbai</v>
      </c>
      <c r="M10" t="str">
        <f t="shared" si="4"/>
        <v>Neh</v>
      </c>
      <c r="N10" t="str">
        <f t="shared" si="5"/>
        <v>mbai</v>
      </c>
      <c r="O10" t="str">
        <f t="shared" si="6"/>
        <v xml:space="preserve">ha </v>
      </c>
      <c r="P10" t="str">
        <f t="shared" si="7"/>
        <v>Neha Mumbai</v>
      </c>
      <c r="Q10" t="str">
        <f t="shared" si="8"/>
        <v>NHelloMumbai</v>
      </c>
    </row>
    <row r="11" spans="1:17" x14ac:dyDescent="0.35">
      <c r="A11">
        <v>1010</v>
      </c>
      <c r="B11" t="s">
        <v>26</v>
      </c>
      <c r="C11" t="s">
        <v>15</v>
      </c>
      <c r="D11" t="s">
        <v>7</v>
      </c>
      <c r="E11">
        <v>72</v>
      </c>
      <c r="F11">
        <v>64</v>
      </c>
      <c r="G11">
        <v>35750</v>
      </c>
      <c r="H11" t="s">
        <v>8</v>
      </c>
      <c r="I11" t="str">
        <f t="shared" si="0"/>
        <v>ananya</v>
      </c>
      <c r="J11" t="str">
        <f t="shared" si="1"/>
        <v>ANANYA</v>
      </c>
      <c r="K11" t="str">
        <f t="shared" si="2"/>
        <v>Ananya Pune</v>
      </c>
      <c r="L11" t="str">
        <f t="shared" si="3"/>
        <v>Ananya Pune</v>
      </c>
      <c r="M11" t="str">
        <f t="shared" si="4"/>
        <v>Ana</v>
      </c>
      <c r="N11" t="str">
        <f t="shared" si="5"/>
        <v>Pune</v>
      </c>
      <c r="O11" t="str">
        <f t="shared" si="6"/>
        <v>any</v>
      </c>
      <c r="P11" t="str">
        <f t="shared" si="7"/>
        <v>Ananya Karve nagar</v>
      </c>
      <c r="Q11" t="str">
        <f t="shared" si="8"/>
        <v>AHelloa Pune</v>
      </c>
    </row>
    <row r="12" spans="1:17" x14ac:dyDescent="0.35">
      <c r="A12">
        <v>1011</v>
      </c>
      <c r="B12" t="s">
        <v>27</v>
      </c>
      <c r="C12" t="s">
        <v>17</v>
      </c>
      <c r="D12" t="s">
        <v>9</v>
      </c>
      <c r="E12">
        <v>75</v>
      </c>
      <c r="F12">
        <v>69</v>
      </c>
      <c r="G12">
        <v>37500</v>
      </c>
      <c r="H12" t="s">
        <v>6</v>
      </c>
      <c r="I12" t="str">
        <f t="shared" si="0"/>
        <v>rohit</v>
      </c>
      <c r="J12" t="str">
        <f t="shared" si="1"/>
        <v>ROHIT</v>
      </c>
      <c r="K12" t="str">
        <f t="shared" si="2"/>
        <v>Rohit Nagpur</v>
      </c>
      <c r="L12" t="str">
        <f t="shared" si="3"/>
        <v>Rohit Nagpur</v>
      </c>
      <c r="M12" t="str">
        <f t="shared" si="4"/>
        <v>Roh</v>
      </c>
      <c r="N12" t="str">
        <f t="shared" si="5"/>
        <v>gpur</v>
      </c>
      <c r="O12" t="str">
        <f t="shared" si="6"/>
        <v>hit</v>
      </c>
      <c r="P12" t="str">
        <f t="shared" si="7"/>
        <v>Rohit Nagpur</v>
      </c>
      <c r="Q12" t="str">
        <f t="shared" si="8"/>
        <v>RHello Nagpur</v>
      </c>
    </row>
    <row r="13" spans="1:17" x14ac:dyDescent="0.35">
      <c r="A13">
        <v>1012</v>
      </c>
      <c r="B13" t="s">
        <v>28</v>
      </c>
      <c r="C13" t="s">
        <v>19</v>
      </c>
      <c r="D13" t="s">
        <v>10</v>
      </c>
      <c r="E13">
        <v>78</v>
      </c>
      <c r="F13">
        <v>74</v>
      </c>
      <c r="G13">
        <v>39250</v>
      </c>
      <c r="H13" t="s">
        <v>8</v>
      </c>
      <c r="I13" t="str">
        <f t="shared" si="0"/>
        <v>karan</v>
      </c>
      <c r="J13" t="str">
        <f t="shared" si="1"/>
        <v>KARAN</v>
      </c>
      <c r="K13" t="str">
        <f t="shared" si="2"/>
        <v>Karan Mumbai</v>
      </c>
      <c r="L13" t="str">
        <f t="shared" si="3"/>
        <v>Karan Mumbai</v>
      </c>
      <c r="M13" t="str">
        <f t="shared" si="4"/>
        <v>Kar</v>
      </c>
      <c r="N13" t="str">
        <f t="shared" si="5"/>
        <v>mbai</v>
      </c>
      <c r="O13" t="str">
        <f t="shared" si="6"/>
        <v>ran</v>
      </c>
      <c r="P13" t="str">
        <f t="shared" si="7"/>
        <v>Karan Mumbai</v>
      </c>
      <c r="Q13" t="str">
        <f t="shared" si="8"/>
        <v>KHello Mumbai</v>
      </c>
    </row>
    <row r="14" spans="1:17" x14ac:dyDescent="0.35">
      <c r="A14">
        <v>1013</v>
      </c>
      <c r="B14" t="s">
        <v>29</v>
      </c>
      <c r="C14" t="s">
        <v>15</v>
      </c>
      <c r="D14" t="s">
        <v>5</v>
      </c>
      <c r="E14">
        <v>81</v>
      </c>
      <c r="F14">
        <v>79</v>
      </c>
      <c r="G14">
        <v>41000</v>
      </c>
      <c r="H14" t="s">
        <v>6</v>
      </c>
      <c r="I14" t="str">
        <f t="shared" si="0"/>
        <v>sneha</v>
      </c>
      <c r="J14" t="str">
        <f t="shared" si="1"/>
        <v>SNEHA</v>
      </c>
      <c r="K14" t="str">
        <f t="shared" si="2"/>
        <v>Sneha Pune</v>
      </c>
      <c r="L14" t="str">
        <f t="shared" si="3"/>
        <v>Sneha Pune</v>
      </c>
      <c r="M14" t="str">
        <f t="shared" si="4"/>
        <v>Sne</v>
      </c>
      <c r="N14" t="str">
        <f t="shared" si="5"/>
        <v>Pune</v>
      </c>
      <c r="O14" t="str">
        <f t="shared" si="6"/>
        <v>eha</v>
      </c>
      <c r="P14" t="str">
        <f t="shared" si="7"/>
        <v>Sneha Karve nagar</v>
      </c>
      <c r="Q14" t="str">
        <f t="shared" si="8"/>
        <v>SHello Pune</v>
      </c>
    </row>
    <row r="15" spans="1:17" x14ac:dyDescent="0.35">
      <c r="A15">
        <v>1014</v>
      </c>
      <c r="B15" t="s">
        <v>30</v>
      </c>
      <c r="C15" t="s">
        <v>17</v>
      </c>
      <c r="D15" t="s">
        <v>7</v>
      </c>
      <c r="E15">
        <v>84</v>
      </c>
      <c r="F15">
        <v>84</v>
      </c>
      <c r="G15">
        <v>42750</v>
      </c>
      <c r="H15" t="s">
        <v>8</v>
      </c>
      <c r="I15" t="str">
        <f t="shared" si="0"/>
        <v>pooja</v>
      </c>
      <c r="J15" t="str">
        <f t="shared" si="1"/>
        <v>POOJA</v>
      </c>
      <c r="K15" t="str">
        <f t="shared" si="2"/>
        <v>Pooja Nagpur</v>
      </c>
      <c r="L15" t="str">
        <f t="shared" si="3"/>
        <v>Pooja Nagpur</v>
      </c>
      <c r="M15" t="str">
        <f t="shared" si="4"/>
        <v>Poo</v>
      </c>
      <c r="N15" t="str">
        <f t="shared" si="5"/>
        <v>gpur</v>
      </c>
      <c r="O15" t="str">
        <f t="shared" si="6"/>
        <v>oja</v>
      </c>
      <c r="P15" t="str">
        <f t="shared" si="7"/>
        <v>Pooja Nagpur</v>
      </c>
      <c r="Q15" t="str">
        <f t="shared" si="8"/>
        <v>PHello Nagpur</v>
      </c>
    </row>
    <row r="16" spans="1:17" x14ac:dyDescent="0.35">
      <c r="A16">
        <v>1015</v>
      </c>
      <c r="B16" t="s">
        <v>31</v>
      </c>
      <c r="C16" t="s">
        <v>19</v>
      </c>
      <c r="D16" t="s">
        <v>9</v>
      </c>
      <c r="E16">
        <v>87</v>
      </c>
      <c r="F16">
        <v>89</v>
      </c>
      <c r="G16">
        <v>44500</v>
      </c>
      <c r="H16" t="s">
        <v>6</v>
      </c>
      <c r="I16" t="str">
        <f t="shared" si="0"/>
        <v>rahul</v>
      </c>
      <c r="J16" t="str">
        <f t="shared" si="1"/>
        <v>RAHUL</v>
      </c>
      <c r="K16" t="str">
        <f t="shared" si="2"/>
        <v>Rahul Mumbai</v>
      </c>
      <c r="L16" t="str">
        <f t="shared" si="3"/>
        <v>Rahul Mumbai</v>
      </c>
      <c r="M16" t="str">
        <f t="shared" si="4"/>
        <v>Rah</v>
      </c>
      <c r="N16" t="str">
        <f t="shared" si="5"/>
        <v>mbai</v>
      </c>
      <c r="O16" t="str">
        <f t="shared" si="6"/>
        <v>hul</v>
      </c>
      <c r="P16" t="str">
        <f t="shared" si="7"/>
        <v>Rahul Mumbai</v>
      </c>
      <c r="Q16" t="str">
        <f t="shared" si="8"/>
        <v>RHello Mumbai</v>
      </c>
    </row>
    <row r="17" spans="1:17" x14ac:dyDescent="0.35">
      <c r="A17">
        <v>1016</v>
      </c>
      <c r="B17" t="s">
        <v>32</v>
      </c>
      <c r="C17" t="s">
        <v>15</v>
      </c>
      <c r="D17" t="s">
        <v>10</v>
      </c>
      <c r="E17">
        <v>90</v>
      </c>
      <c r="F17">
        <v>94</v>
      </c>
      <c r="G17">
        <v>46250</v>
      </c>
      <c r="H17" t="s">
        <v>8</v>
      </c>
      <c r="I17" t="str">
        <f t="shared" si="0"/>
        <v>aditi</v>
      </c>
      <c r="J17" t="str">
        <f t="shared" si="1"/>
        <v>ADITI</v>
      </c>
      <c r="K17" t="str">
        <f t="shared" si="2"/>
        <v>Aditi Pune</v>
      </c>
      <c r="L17" t="str">
        <f t="shared" si="3"/>
        <v>Aditi Pune</v>
      </c>
      <c r="M17" t="str">
        <f t="shared" si="4"/>
        <v>Adi</v>
      </c>
      <c r="N17" t="str">
        <f t="shared" si="5"/>
        <v>Pune</v>
      </c>
      <c r="O17" t="str">
        <f t="shared" si="6"/>
        <v>iti</v>
      </c>
      <c r="P17" t="str">
        <f t="shared" si="7"/>
        <v>Aditi Karve nagar</v>
      </c>
      <c r="Q17" t="str">
        <f t="shared" si="8"/>
        <v>AHello Pune</v>
      </c>
    </row>
    <row r="18" spans="1:17" x14ac:dyDescent="0.35">
      <c r="A18">
        <v>1017</v>
      </c>
      <c r="B18" t="s">
        <v>33</v>
      </c>
      <c r="C18" t="s">
        <v>17</v>
      </c>
      <c r="D18" t="s">
        <v>5</v>
      </c>
      <c r="E18">
        <v>93</v>
      </c>
      <c r="F18">
        <v>99</v>
      </c>
      <c r="G18">
        <v>48000</v>
      </c>
      <c r="H18" t="s">
        <v>6</v>
      </c>
      <c r="I18" t="str">
        <f t="shared" si="0"/>
        <v>isha</v>
      </c>
      <c r="J18" t="str">
        <f t="shared" si="1"/>
        <v>ISHA</v>
      </c>
      <c r="K18" t="str">
        <f t="shared" si="2"/>
        <v>Isha Nagpur</v>
      </c>
      <c r="L18" t="str">
        <f t="shared" si="3"/>
        <v>Isha Nagpur</v>
      </c>
      <c r="M18" t="str">
        <f t="shared" si="4"/>
        <v>Ish</v>
      </c>
      <c r="N18" t="str">
        <f t="shared" si="5"/>
        <v>gpur</v>
      </c>
      <c r="O18" t="str">
        <f t="shared" si="6"/>
        <v xml:space="preserve">ha </v>
      </c>
      <c r="P18" t="str">
        <f t="shared" si="7"/>
        <v>Isha Nagpur</v>
      </c>
      <c r="Q18" t="str">
        <f t="shared" si="8"/>
        <v>IHelloNagpur</v>
      </c>
    </row>
    <row r="19" spans="1:17" x14ac:dyDescent="0.35">
      <c r="A19">
        <v>1018</v>
      </c>
      <c r="B19" t="s">
        <v>34</v>
      </c>
      <c r="C19" t="s">
        <v>19</v>
      </c>
      <c r="D19" t="s">
        <v>7</v>
      </c>
      <c r="E19">
        <v>96</v>
      </c>
      <c r="F19">
        <v>63</v>
      </c>
      <c r="G19">
        <v>49750</v>
      </c>
      <c r="H19" t="s">
        <v>8</v>
      </c>
      <c r="I19" t="str">
        <f t="shared" si="0"/>
        <v>meera</v>
      </c>
      <c r="J19" t="str">
        <f t="shared" si="1"/>
        <v>MEERA</v>
      </c>
      <c r="K19" t="str">
        <f t="shared" si="2"/>
        <v>Meera Mumbai</v>
      </c>
      <c r="L19" t="str">
        <f t="shared" si="3"/>
        <v>Meera Mumbai</v>
      </c>
      <c r="M19" t="str">
        <f t="shared" si="4"/>
        <v>Mee</v>
      </c>
      <c r="N19" t="str">
        <f t="shared" si="5"/>
        <v>mbai</v>
      </c>
      <c r="O19" t="str">
        <f t="shared" si="6"/>
        <v>era</v>
      </c>
      <c r="P19" t="str">
        <f t="shared" si="7"/>
        <v>Meera Mumbai</v>
      </c>
      <c r="Q19" t="str">
        <f t="shared" si="8"/>
        <v>MHello Mumbai</v>
      </c>
    </row>
    <row r="20" spans="1:17" x14ac:dyDescent="0.35">
      <c r="A20">
        <v>1019</v>
      </c>
      <c r="B20" t="s">
        <v>35</v>
      </c>
      <c r="C20" t="s">
        <v>15</v>
      </c>
      <c r="D20" t="s">
        <v>9</v>
      </c>
      <c r="E20">
        <v>99</v>
      </c>
      <c r="F20">
        <v>68</v>
      </c>
      <c r="G20">
        <v>21499</v>
      </c>
      <c r="H20" t="s">
        <v>6</v>
      </c>
      <c r="I20" t="str">
        <f t="shared" si="0"/>
        <v>yash</v>
      </c>
      <c r="J20" t="str">
        <f t="shared" si="1"/>
        <v>YASH</v>
      </c>
      <c r="K20" t="str">
        <f t="shared" si="2"/>
        <v>Yash Pune</v>
      </c>
      <c r="L20" t="str">
        <f t="shared" si="3"/>
        <v>Yash Pune</v>
      </c>
      <c r="M20" t="str">
        <f t="shared" si="4"/>
        <v>Yas</v>
      </c>
      <c r="N20" t="str">
        <f t="shared" si="5"/>
        <v>Pune</v>
      </c>
      <c r="O20" t="str">
        <f t="shared" si="6"/>
        <v xml:space="preserve">sh </v>
      </c>
      <c r="P20" t="str">
        <f t="shared" si="7"/>
        <v>Yash Karve nagar</v>
      </c>
      <c r="Q20" t="str">
        <f t="shared" si="8"/>
        <v>YHelloPune</v>
      </c>
    </row>
    <row r="21" spans="1:17" x14ac:dyDescent="0.35">
      <c r="A21">
        <v>1020</v>
      </c>
      <c r="B21" t="s">
        <v>36</v>
      </c>
      <c r="C21" t="s">
        <v>17</v>
      </c>
      <c r="D21" t="s">
        <v>10</v>
      </c>
      <c r="E21">
        <v>46</v>
      </c>
      <c r="F21">
        <v>73</v>
      </c>
      <c r="G21">
        <v>23249</v>
      </c>
      <c r="H21" t="s">
        <v>8</v>
      </c>
      <c r="I21" t="str">
        <f t="shared" si="0"/>
        <v>om</v>
      </c>
      <c r="J21" t="str">
        <f t="shared" si="1"/>
        <v>OM</v>
      </c>
      <c r="K21" t="str">
        <f t="shared" si="2"/>
        <v>Om Nagpur</v>
      </c>
      <c r="L21" t="str">
        <f t="shared" si="3"/>
        <v>Om Nagpur</v>
      </c>
      <c r="M21" t="str">
        <f t="shared" si="4"/>
        <v xml:space="preserve">Om </v>
      </c>
      <c r="N21" t="str">
        <f t="shared" si="5"/>
        <v>gpur</v>
      </c>
      <c r="O21" t="str">
        <f t="shared" si="6"/>
        <v xml:space="preserve"> Na</v>
      </c>
      <c r="P21" t="str">
        <f t="shared" si="7"/>
        <v>Om Nagpur</v>
      </c>
      <c r="Q21" t="str">
        <f t="shared" si="8"/>
        <v>OHellogpur</v>
      </c>
    </row>
    <row r="22" spans="1:17" x14ac:dyDescent="0.35">
      <c r="A22">
        <v>1021</v>
      </c>
      <c r="B22" t="s">
        <v>37</v>
      </c>
      <c r="C22" t="s">
        <v>19</v>
      </c>
      <c r="D22" t="s">
        <v>5</v>
      </c>
      <c r="E22">
        <v>49</v>
      </c>
      <c r="F22">
        <v>78</v>
      </c>
      <c r="G22">
        <v>24999</v>
      </c>
      <c r="H22" t="s">
        <v>6</v>
      </c>
      <c r="I22" t="str">
        <f t="shared" si="0"/>
        <v>sahil</v>
      </c>
      <c r="J22" t="str">
        <f t="shared" si="1"/>
        <v>SAHIL</v>
      </c>
      <c r="K22" t="str">
        <f t="shared" si="2"/>
        <v>Sahil Mumbai</v>
      </c>
      <c r="L22" t="str">
        <f t="shared" si="3"/>
        <v>Sahil Mumbai</v>
      </c>
      <c r="M22" t="str">
        <f t="shared" si="4"/>
        <v>Sah</v>
      </c>
      <c r="N22" t="str">
        <f t="shared" si="5"/>
        <v>mbai</v>
      </c>
      <c r="O22" t="str">
        <f t="shared" si="6"/>
        <v>hil</v>
      </c>
      <c r="P22" t="str">
        <f t="shared" si="7"/>
        <v>Sahil Mumbai</v>
      </c>
      <c r="Q22" t="str">
        <f t="shared" si="8"/>
        <v>SHello Mumbai</v>
      </c>
    </row>
    <row r="23" spans="1:17" x14ac:dyDescent="0.35">
      <c r="A23">
        <v>1022</v>
      </c>
      <c r="B23" t="s">
        <v>38</v>
      </c>
      <c r="C23" t="s">
        <v>15</v>
      </c>
      <c r="D23" t="s">
        <v>7</v>
      </c>
      <c r="E23">
        <v>52</v>
      </c>
      <c r="F23">
        <v>83</v>
      </c>
      <c r="G23">
        <v>26749</v>
      </c>
      <c r="H23" t="s">
        <v>8</v>
      </c>
      <c r="I23" t="str">
        <f t="shared" si="0"/>
        <v>tanvi</v>
      </c>
      <c r="J23" t="str">
        <f t="shared" si="1"/>
        <v>TANVI</v>
      </c>
      <c r="K23" t="str">
        <f t="shared" si="2"/>
        <v>Tanvi Pune</v>
      </c>
      <c r="L23" t="str">
        <f t="shared" si="3"/>
        <v>Tanvi Pune</v>
      </c>
      <c r="M23" t="str">
        <f t="shared" si="4"/>
        <v>Tan</v>
      </c>
      <c r="N23" t="str">
        <f t="shared" si="5"/>
        <v>Pune</v>
      </c>
      <c r="O23" t="str">
        <f t="shared" si="6"/>
        <v>nvi</v>
      </c>
      <c r="P23" t="str">
        <f t="shared" si="7"/>
        <v>Tanvi Karve nagar</v>
      </c>
      <c r="Q23" t="str">
        <f t="shared" si="8"/>
        <v>THello Pune</v>
      </c>
    </row>
    <row r="24" spans="1:17" x14ac:dyDescent="0.35">
      <c r="A24">
        <v>1023</v>
      </c>
      <c r="B24" t="s">
        <v>39</v>
      </c>
      <c r="C24" t="s">
        <v>17</v>
      </c>
      <c r="D24" t="s">
        <v>9</v>
      </c>
      <c r="E24">
        <v>55</v>
      </c>
      <c r="F24">
        <v>88</v>
      </c>
      <c r="G24">
        <v>28499</v>
      </c>
      <c r="H24" t="s">
        <v>6</v>
      </c>
      <c r="I24" t="str">
        <f t="shared" si="0"/>
        <v>kavya</v>
      </c>
      <c r="J24" t="str">
        <f t="shared" si="1"/>
        <v>KAVYA</v>
      </c>
      <c r="K24" t="str">
        <f t="shared" si="2"/>
        <v>Kavya Nagpur</v>
      </c>
      <c r="L24" t="str">
        <f t="shared" si="3"/>
        <v>Kavya Nagpur</v>
      </c>
      <c r="M24" t="str">
        <f t="shared" si="4"/>
        <v>Kav</v>
      </c>
      <c r="N24" t="str">
        <f t="shared" si="5"/>
        <v>gpur</v>
      </c>
      <c r="O24" t="str">
        <f t="shared" si="6"/>
        <v>vya</v>
      </c>
      <c r="P24" t="str">
        <f t="shared" si="7"/>
        <v>Kavya Nagpur</v>
      </c>
      <c r="Q24" t="str">
        <f t="shared" si="8"/>
        <v>KHello Nagpur</v>
      </c>
    </row>
    <row r="25" spans="1:17" x14ac:dyDescent="0.35">
      <c r="A25">
        <v>1024</v>
      </c>
      <c r="B25" t="s">
        <v>40</v>
      </c>
      <c r="C25" t="s">
        <v>19</v>
      </c>
      <c r="D25" t="s">
        <v>10</v>
      </c>
      <c r="E25">
        <v>58</v>
      </c>
      <c r="F25">
        <v>93</v>
      </c>
      <c r="G25">
        <v>30249</v>
      </c>
      <c r="H25" t="s">
        <v>8</v>
      </c>
      <c r="I25" t="str">
        <f t="shared" si="0"/>
        <v>nikhil</v>
      </c>
      <c r="J25" t="str">
        <f t="shared" si="1"/>
        <v>NIKHIL</v>
      </c>
      <c r="K25" t="str">
        <f t="shared" si="2"/>
        <v>Nikhil Mumbai</v>
      </c>
      <c r="L25" t="str">
        <f t="shared" si="3"/>
        <v>Nikhil Mumbai</v>
      </c>
      <c r="M25" t="str">
        <f t="shared" si="4"/>
        <v>Nik</v>
      </c>
      <c r="N25" t="str">
        <f t="shared" si="5"/>
        <v>mbai</v>
      </c>
      <c r="O25" t="str">
        <f t="shared" si="6"/>
        <v>khi</v>
      </c>
      <c r="P25" t="str">
        <f t="shared" si="7"/>
        <v>Nikhil Mumbai</v>
      </c>
      <c r="Q25" t="str">
        <f t="shared" si="8"/>
        <v>NHellol Mumbai</v>
      </c>
    </row>
    <row r="26" spans="1:17" x14ac:dyDescent="0.35">
      <c r="A26">
        <v>1025</v>
      </c>
      <c r="B26" t="s">
        <v>41</v>
      </c>
      <c r="C26" t="s">
        <v>15</v>
      </c>
      <c r="D26" t="s">
        <v>5</v>
      </c>
      <c r="E26">
        <v>61</v>
      </c>
      <c r="F26">
        <v>98</v>
      </c>
      <c r="G26">
        <v>31999</v>
      </c>
      <c r="H26" t="s">
        <v>6</v>
      </c>
      <c r="I26" t="str">
        <f t="shared" si="0"/>
        <v>akash</v>
      </c>
      <c r="J26" t="str">
        <f t="shared" si="1"/>
        <v>AKASH</v>
      </c>
      <c r="K26" t="str">
        <f t="shared" si="2"/>
        <v>Akash Pune</v>
      </c>
      <c r="L26" t="str">
        <f t="shared" si="3"/>
        <v>Akash Pune</v>
      </c>
      <c r="M26" t="str">
        <f t="shared" si="4"/>
        <v>Aka</v>
      </c>
      <c r="N26" t="str">
        <f t="shared" si="5"/>
        <v>Pune</v>
      </c>
      <c r="O26" t="str">
        <f t="shared" si="6"/>
        <v>ash</v>
      </c>
      <c r="P26" t="str">
        <f t="shared" si="7"/>
        <v>Akash Karve nagar</v>
      </c>
      <c r="Q26" t="str">
        <f t="shared" si="8"/>
        <v>AHello Pune</v>
      </c>
    </row>
    <row r="27" spans="1:17" x14ac:dyDescent="0.35">
      <c r="A27">
        <v>1026</v>
      </c>
      <c r="B27" t="s">
        <v>42</v>
      </c>
      <c r="C27" t="s">
        <v>17</v>
      </c>
      <c r="D27" t="s">
        <v>7</v>
      </c>
      <c r="E27">
        <v>64</v>
      </c>
      <c r="F27">
        <v>62</v>
      </c>
      <c r="G27">
        <v>33749</v>
      </c>
      <c r="H27" t="s">
        <v>8</v>
      </c>
      <c r="I27" t="str">
        <f t="shared" si="0"/>
        <v>sakshi</v>
      </c>
      <c r="J27" t="str">
        <f t="shared" si="1"/>
        <v>SAKSHI</v>
      </c>
      <c r="K27" t="str">
        <f t="shared" si="2"/>
        <v>Sakshi Nagpur</v>
      </c>
      <c r="L27" t="str">
        <f t="shared" si="3"/>
        <v>Sakshi Nagpur</v>
      </c>
      <c r="M27" t="str">
        <f t="shared" si="4"/>
        <v>Sak</v>
      </c>
      <c r="N27" t="str">
        <f t="shared" si="5"/>
        <v>gpur</v>
      </c>
      <c r="O27" t="str">
        <f t="shared" si="6"/>
        <v>ksh</v>
      </c>
      <c r="P27" t="str">
        <f t="shared" si="7"/>
        <v>Sakshi Nagpur</v>
      </c>
      <c r="Q27" t="str">
        <f t="shared" si="8"/>
        <v>SHelloi Nagpur</v>
      </c>
    </row>
    <row r="28" spans="1:17" x14ac:dyDescent="0.35">
      <c r="A28">
        <v>1027</v>
      </c>
      <c r="B28" t="s">
        <v>43</v>
      </c>
      <c r="C28" t="s">
        <v>19</v>
      </c>
      <c r="D28" t="s">
        <v>9</v>
      </c>
      <c r="E28">
        <v>67</v>
      </c>
      <c r="F28">
        <v>67</v>
      </c>
      <c r="G28">
        <v>35499</v>
      </c>
      <c r="H28" t="s">
        <v>6</v>
      </c>
      <c r="I28" t="str">
        <f t="shared" si="0"/>
        <v>manav</v>
      </c>
      <c r="J28" t="str">
        <f t="shared" si="1"/>
        <v>MANAV</v>
      </c>
      <c r="K28" t="str">
        <f t="shared" si="2"/>
        <v>Manav Mumbai</v>
      </c>
      <c r="L28" t="str">
        <f t="shared" si="3"/>
        <v>Manav Mumbai</v>
      </c>
      <c r="M28" t="str">
        <f t="shared" si="4"/>
        <v>Man</v>
      </c>
      <c r="N28" t="str">
        <f t="shared" si="5"/>
        <v>mbai</v>
      </c>
      <c r="O28" t="str">
        <f t="shared" si="6"/>
        <v>nav</v>
      </c>
      <c r="P28" t="str">
        <f t="shared" si="7"/>
        <v>Manav Mumbai</v>
      </c>
      <c r="Q28" t="str">
        <f t="shared" si="8"/>
        <v>MHello Mumbai</v>
      </c>
    </row>
    <row r="29" spans="1:17" x14ac:dyDescent="0.35">
      <c r="A29">
        <v>1028</v>
      </c>
      <c r="B29" t="s">
        <v>44</v>
      </c>
      <c r="C29" t="s">
        <v>15</v>
      </c>
      <c r="D29" t="s">
        <v>10</v>
      </c>
      <c r="E29">
        <v>70</v>
      </c>
      <c r="F29">
        <v>72</v>
      </c>
      <c r="G29">
        <v>37249</v>
      </c>
      <c r="H29" t="s">
        <v>8</v>
      </c>
      <c r="I29" t="str">
        <f t="shared" si="0"/>
        <v>aryan</v>
      </c>
      <c r="J29" t="str">
        <f t="shared" si="1"/>
        <v>ARYAN</v>
      </c>
      <c r="K29" t="str">
        <f t="shared" si="2"/>
        <v>Aryan Pune</v>
      </c>
      <c r="L29" t="str">
        <f t="shared" si="3"/>
        <v>Aryan Pune</v>
      </c>
      <c r="M29" t="str">
        <f t="shared" si="4"/>
        <v>Ary</v>
      </c>
      <c r="N29" t="str">
        <f t="shared" si="5"/>
        <v>Pune</v>
      </c>
      <c r="O29" t="str">
        <f t="shared" si="6"/>
        <v>yan</v>
      </c>
      <c r="P29" t="str">
        <f t="shared" si="7"/>
        <v>Aryan Karve nagar</v>
      </c>
      <c r="Q29" t="str">
        <f t="shared" si="8"/>
        <v>AHello Pune</v>
      </c>
    </row>
    <row r="30" spans="1:17" x14ac:dyDescent="0.35">
      <c r="A30">
        <v>1029</v>
      </c>
      <c r="B30" t="s">
        <v>45</v>
      </c>
      <c r="C30" t="s">
        <v>17</v>
      </c>
      <c r="D30" t="s">
        <v>5</v>
      </c>
      <c r="E30">
        <v>73</v>
      </c>
      <c r="F30">
        <v>77</v>
      </c>
      <c r="G30">
        <v>38999</v>
      </c>
      <c r="H30" t="s">
        <v>6</v>
      </c>
      <c r="I30" t="str">
        <f t="shared" si="0"/>
        <v>harsh</v>
      </c>
      <c r="J30" t="str">
        <f t="shared" si="1"/>
        <v>HARSH</v>
      </c>
      <c r="K30" t="str">
        <f t="shared" si="2"/>
        <v>Harsh Nagpur</v>
      </c>
      <c r="L30" t="str">
        <f t="shared" si="3"/>
        <v>Harsh Nagpur</v>
      </c>
      <c r="M30" t="str">
        <f t="shared" si="4"/>
        <v>Har</v>
      </c>
      <c r="N30" t="str">
        <f t="shared" si="5"/>
        <v>gpur</v>
      </c>
      <c r="O30" t="str">
        <f t="shared" si="6"/>
        <v>rsh</v>
      </c>
      <c r="P30" t="str">
        <f t="shared" si="7"/>
        <v>Harsh Nagpur</v>
      </c>
      <c r="Q30" t="str">
        <f t="shared" si="8"/>
        <v>HHello Nagpur</v>
      </c>
    </row>
    <row r="31" spans="1:17" x14ac:dyDescent="0.35">
      <c r="A31">
        <v>1030</v>
      </c>
      <c r="B31" t="s">
        <v>46</v>
      </c>
      <c r="C31" t="s">
        <v>19</v>
      </c>
      <c r="D31" t="s">
        <v>7</v>
      </c>
      <c r="E31">
        <v>76</v>
      </c>
      <c r="F31">
        <v>82</v>
      </c>
      <c r="G31">
        <v>40749</v>
      </c>
      <c r="H31" t="s">
        <v>8</v>
      </c>
      <c r="I31" t="str">
        <f t="shared" si="0"/>
        <v>vaishnavi</v>
      </c>
      <c r="J31" t="str">
        <f t="shared" si="1"/>
        <v>VAISHNAVI</v>
      </c>
      <c r="K31" t="str">
        <f t="shared" si="2"/>
        <v>Vaishnavi Mumbai</v>
      </c>
      <c r="L31" t="str">
        <f t="shared" si="3"/>
        <v>Vaishnavi Mumbai</v>
      </c>
      <c r="M31" t="str">
        <f t="shared" si="4"/>
        <v>Vai</v>
      </c>
      <c r="N31" t="str">
        <f t="shared" si="5"/>
        <v>mbai</v>
      </c>
      <c r="O31" t="str">
        <f t="shared" si="6"/>
        <v>ish</v>
      </c>
      <c r="P31" t="str">
        <f t="shared" si="7"/>
        <v>Vaishnavi Mumbai</v>
      </c>
      <c r="Q31" t="str">
        <f t="shared" si="8"/>
        <v>VHellonavi Mumbai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workbookViewId="0">
      <selection activeCell="F20" sqref="F20"/>
    </sheetView>
  </sheetViews>
  <sheetFormatPr defaultRowHeight="14.5" x14ac:dyDescent="0.35"/>
  <cols>
    <col min="4" max="4" width="10.08984375" bestFit="1" customWidth="1"/>
    <col min="8" max="8" width="10.08984375" bestFit="1" customWidth="1"/>
    <col min="9" max="9" width="15.1796875" bestFit="1" customWidth="1"/>
  </cols>
  <sheetData>
    <row r="1" spans="1:9" x14ac:dyDescent="0.35">
      <c r="A1" s="2" t="s">
        <v>56</v>
      </c>
      <c r="B1" s="2" t="s">
        <v>57</v>
      </c>
      <c r="C1" s="2" t="s">
        <v>58</v>
      </c>
      <c r="D1" s="2" t="s">
        <v>59</v>
      </c>
      <c r="E1" s="2" t="s">
        <v>58</v>
      </c>
      <c r="F1" s="2" t="s">
        <v>57</v>
      </c>
      <c r="G1" s="2" t="s">
        <v>56</v>
      </c>
      <c r="H1" s="2" t="s">
        <v>60</v>
      </c>
      <c r="I1" s="2" t="s">
        <v>61</v>
      </c>
    </row>
    <row r="2" spans="1:9" x14ac:dyDescent="0.35">
      <c r="A2">
        <v>5</v>
      </c>
      <c r="B2">
        <v>6</v>
      </c>
      <c r="C2">
        <v>2024</v>
      </c>
      <c r="D2" s="3">
        <f>DATE(C2,B2,A2)</f>
        <v>45448</v>
      </c>
      <c r="E2">
        <f>YEAR(D2)</f>
        <v>2024</v>
      </c>
      <c r="F2">
        <f>MONTH(D2)</f>
        <v>6</v>
      </c>
      <c r="G2">
        <f>DAY(D2)</f>
        <v>5</v>
      </c>
      <c r="H2" s="3">
        <f ca="1">TODAY()</f>
        <v>46203</v>
      </c>
      <c r="I2" s="4">
        <f ca="1">NOW()</f>
        <v>46203.722833912034</v>
      </c>
    </row>
    <row r="3" spans="1:9" x14ac:dyDescent="0.35">
      <c r="A3">
        <v>6</v>
      </c>
      <c r="B3">
        <v>12</v>
      </c>
      <c r="C3">
        <v>2004</v>
      </c>
      <c r="D3" s="3">
        <f t="shared" ref="D3:D6" si="0">DATE(C3,B3,A3)</f>
        <v>38327</v>
      </c>
      <c r="E3">
        <f t="shared" ref="E3:E6" si="1">YEAR(D3)</f>
        <v>2004</v>
      </c>
      <c r="F3">
        <f t="shared" ref="F3:F6" si="2">MONTH(D3)</f>
        <v>12</v>
      </c>
      <c r="G3">
        <f t="shared" ref="G3:G6" si="3">DAY(D3)</f>
        <v>6</v>
      </c>
      <c r="H3" s="3">
        <f t="shared" ref="H3:H6" ca="1" si="4">TODAY()</f>
        <v>46203</v>
      </c>
      <c r="I3" s="4">
        <f t="shared" ref="I3:I6" ca="1" si="5">NOW()</f>
        <v>46203.722833912034</v>
      </c>
    </row>
    <row r="4" spans="1:9" x14ac:dyDescent="0.35">
      <c r="A4">
        <v>23</v>
      </c>
      <c r="B4">
        <v>4</v>
      </c>
      <c r="C4">
        <v>2023</v>
      </c>
      <c r="D4" s="3">
        <f t="shared" si="0"/>
        <v>45039</v>
      </c>
      <c r="E4">
        <f t="shared" si="1"/>
        <v>2023</v>
      </c>
      <c r="F4">
        <f t="shared" si="2"/>
        <v>4</v>
      </c>
      <c r="G4">
        <f t="shared" si="3"/>
        <v>23</v>
      </c>
      <c r="H4" s="3">
        <f t="shared" ca="1" si="4"/>
        <v>46203</v>
      </c>
      <c r="I4" s="4">
        <f t="shared" ca="1" si="5"/>
        <v>46203.722833912034</v>
      </c>
    </row>
    <row r="5" spans="1:9" x14ac:dyDescent="0.35">
      <c r="A5">
        <v>18</v>
      </c>
      <c r="B5">
        <v>8</v>
      </c>
      <c r="C5">
        <v>2020</v>
      </c>
      <c r="D5" s="3">
        <f t="shared" si="0"/>
        <v>44061</v>
      </c>
      <c r="E5">
        <f t="shared" si="1"/>
        <v>2020</v>
      </c>
      <c r="F5">
        <f t="shared" si="2"/>
        <v>8</v>
      </c>
      <c r="G5">
        <f t="shared" si="3"/>
        <v>18</v>
      </c>
      <c r="H5" s="3">
        <f t="shared" ca="1" si="4"/>
        <v>46203</v>
      </c>
      <c r="I5" s="4">
        <f t="shared" ca="1" si="5"/>
        <v>46203.722833912034</v>
      </c>
    </row>
    <row r="6" spans="1:9" x14ac:dyDescent="0.35">
      <c r="A6">
        <v>9</v>
      </c>
      <c r="B6">
        <v>2</v>
      </c>
      <c r="C6">
        <v>2002</v>
      </c>
      <c r="D6" s="3">
        <f t="shared" si="0"/>
        <v>37296</v>
      </c>
      <c r="E6">
        <f t="shared" si="1"/>
        <v>2002</v>
      </c>
      <c r="F6">
        <f t="shared" si="2"/>
        <v>2</v>
      </c>
      <c r="G6">
        <f t="shared" si="3"/>
        <v>9</v>
      </c>
      <c r="H6" s="3">
        <f t="shared" ca="1" si="4"/>
        <v>46203</v>
      </c>
      <c r="I6" s="4">
        <f t="shared" ca="1" si="5"/>
        <v>46203.722833912034</v>
      </c>
    </row>
    <row r="10" spans="1:9" x14ac:dyDescent="0.35">
      <c r="D10" t="s">
        <v>62</v>
      </c>
      <c r="E10">
        <f>DATEDIF(D3,D2,"D")</f>
        <v>7121</v>
      </c>
    </row>
    <row r="11" spans="1:9" x14ac:dyDescent="0.35">
      <c r="D11" t="s">
        <v>57</v>
      </c>
      <c r="E11">
        <f>DATEDIF(D3,D2,"M")</f>
        <v>233</v>
      </c>
    </row>
    <row r="12" spans="1:9" x14ac:dyDescent="0.35">
      <c r="D12" t="s">
        <v>58</v>
      </c>
      <c r="E12">
        <f>DATEDIF(D3,D2,"Y")</f>
        <v>19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1"/>
  <sheetViews>
    <sheetView tabSelected="1" workbookViewId="0">
      <selection activeCell="K3" sqref="K3"/>
    </sheetView>
  </sheetViews>
  <sheetFormatPr defaultRowHeight="14.5" x14ac:dyDescent="0.35"/>
  <cols>
    <col min="13" max="13" width="10.08984375" bestFit="1" customWidth="1"/>
  </cols>
  <sheetData>
    <row r="1" spans="1:17" x14ac:dyDescent="0.35">
      <c r="A1" s="5" t="s">
        <v>11</v>
      </c>
      <c r="B1" s="5" t="s">
        <v>12</v>
      </c>
      <c r="C1" s="1" t="s">
        <v>13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</row>
    <row r="2" spans="1:17" x14ac:dyDescent="0.35">
      <c r="A2">
        <v>1001</v>
      </c>
      <c r="B2" t="s">
        <v>14</v>
      </c>
      <c r="C2" t="s">
        <v>15</v>
      </c>
      <c r="D2" t="s">
        <v>5</v>
      </c>
      <c r="E2">
        <v>45</v>
      </c>
      <c r="F2">
        <v>60</v>
      </c>
      <c r="G2">
        <v>20000</v>
      </c>
      <c r="H2" t="s">
        <v>6</v>
      </c>
      <c r="K2">
        <f>VLOOKUP(50,E1:H31,2,TRUE)</f>
        <v>78</v>
      </c>
    </row>
    <row r="3" spans="1:17" x14ac:dyDescent="0.35">
      <c r="A3">
        <v>1020</v>
      </c>
      <c r="B3" t="s">
        <v>36</v>
      </c>
      <c r="C3" t="s">
        <v>17</v>
      </c>
      <c r="D3" t="s">
        <v>10</v>
      </c>
      <c r="E3">
        <v>46</v>
      </c>
      <c r="F3">
        <v>73</v>
      </c>
      <c r="G3">
        <v>23249</v>
      </c>
      <c r="H3" t="s">
        <v>8</v>
      </c>
      <c r="K3">
        <f>VLOOKUP(C6,C1:H31,4,)</f>
        <v>78</v>
      </c>
    </row>
    <row r="4" spans="1:17" x14ac:dyDescent="0.35">
      <c r="A4">
        <v>1002</v>
      </c>
      <c r="B4" t="s">
        <v>16</v>
      </c>
      <c r="C4" t="s">
        <v>17</v>
      </c>
      <c r="D4" t="s">
        <v>7</v>
      </c>
      <c r="E4">
        <v>48</v>
      </c>
      <c r="F4">
        <v>65</v>
      </c>
      <c r="G4">
        <v>21750</v>
      </c>
      <c r="H4" t="s">
        <v>8</v>
      </c>
      <c r="K4">
        <f>VLOOKUP(1018,A1:H31,6,FALSE)</f>
        <v>63</v>
      </c>
    </row>
    <row r="5" spans="1:17" x14ac:dyDescent="0.35">
      <c r="A5">
        <v>1021</v>
      </c>
      <c r="B5" t="s">
        <v>37</v>
      </c>
      <c r="C5" t="s">
        <v>19</v>
      </c>
      <c r="D5" t="s">
        <v>5</v>
      </c>
      <c r="E5">
        <v>49</v>
      </c>
      <c r="F5">
        <v>78</v>
      </c>
      <c r="G5">
        <v>24999</v>
      </c>
      <c r="H5" t="s">
        <v>6</v>
      </c>
      <c r="J5" t="s">
        <v>67</v>
      </c>
      <c r="K5" t="str">
        <f>VLOOKUP(1010,A1:H31,8,FALSE)</f>
        <v>Female</v>
      </c>
    </row>
    <row r="6" spans="1:17" x14ac:dyDescent="0.35">
      <c r="A6">
        <v>1003</v>
      </c>
      <c r="B6" t="s">
        <v>18</v>
      </c>
      <c r="C6" t="s">
        <v>19</v>
      </c>
      <c r="D6" t="s">
        <v>9</v>
      </c>
      <c r="E6">
        <v>51</v>
      </c>
      <c r="F6">
        <v>70</v>
      </c>
      <c r="G6">
        <v>23500</v>
      </c>
      <c r="H6" t="s">
        <v>6</v>
      </c>
      <c r="K6">
        <f>VLOOKUP(1023,A1:H31,5,FALSE)</f>
        <v>55</v>
      </c>
    </row>
    <row r="7" spans="1:17" x14ac:dyDescent="0.35">
      <c r="A7">
        <v>1022</v>
      </c>
      <c r="B7" t="s">
        <v>38</v>
      </c>
      <c r="C7" t="s">
        <v>15</v>
      </c>
      <c r="D7" t="s">
        <v>7</v>
      </c>
      <c r="E7">
        <v>52</v>
      </c>
      <c r="F7">
        <v>83</v>
      </c>
      <c r="G7">
        <v>26749</v>
      </c>
      <c r="H7" t="s">
        <v>8</v>
      </c>
    </row>
    <row r="8" spans="1:17" x14ac:dyDescent="0.35">
      <c r="A8">
        <v>1004</v>
      </c>
      <c r="B8" t="s">
        <v>20</v>
      </c>
      <c r="C8" t="s">
        <v>15</v>
      </c>
      <c r="D8" t="s">
        <v>10</v>
      </c>
      <c r="E8">
        <v>54</v>
      </c>
      <c r="F8">
        <v>75</v>
      </c>
      <c r="G8">
        <v>25250</v>
      </c>
      <c r="H8" t="s">
        <v>8</v>
      </c>
      <c r="J8" t="s">
        <v>68</v>
      </c>
      <c r="K8" t="str">
        <f>HLOOKUP(103,M8:Q10,2,FALSE)</f>
        <v>pranali</v>
      </c>
      <c r="M8" s="2" t="s">
        <v>11</v>
      </c>
      <c r="N8">
        <v>101</v>
      </c>
      <c r="O8">
        <v>102</v>
      </c>
      <c r="P8">
        <v>103</v>
      </c>
      <c r="Q8">
        <v>104</v>
      </c>
    </row>
    <row r="9" spans="1:17" x14ac:dyDescent="0.35">
      <c r="A9">
        <v>1023</v>
      </c>
      <c r="B9" t="s">
        <v>39</v>
      </c>
      <c r="C9" t="s">
        <v>17</v>
      </c>
      <c r="D9" t="s">
        <v>9</v>
      </c>
      <c r="E9">
        <v>55</v>
      </c>
      <c r="F9">
        <v>88</v>
      </c>
      <c r="G9">
        <v>28499</v>
      </c>
      <c r="H9" t="s">
        <v>6</v>
      </c>
      <c r="K9">
        <f>HLOOKUP(101,M8:Q10,3,FALSE)</f>
        <v>89</v>
      </c>
      <c r="M9" s="2" t="s">
        <v>12</v>
      </c>
      <c r="N9" t="s">
        <v>63</v>
      </c>
      <c r="O9" t="s">
        <v>64</v>
      </c>
      <c r="P9" t="s">
        <v>65</v>
      </c>
      <c r="Q9" t="s">
        <v>66</v>
      </c>
    </row>
    <row r="10" spans="1:17" x14ac:dyDescent="0.35">
      <c r="A10">
        <v>1005</v>
      </c>
      <c r="B10" t="s">
        <v>21</v>
      </c>
      <c r="C10" t="s">
        <v>17</v>
      </c>
      <c r="D10" t="s">
        <v>5</v>
      </c>
      <c r="E10">
        <v>57</v>
      </c>
      <c r="F10">
        <v>80</v>
      </c>
      <c r="G10">
        <v>27000</v>
      </c>
      <c r="H10" t="s">
        <v>6</v>
      </c>
      <c r="M10" s="2" t="s">
        <v>1</v>
      </c>
      <c r="N10">
        <v>89</v>
      </c>
      <c r="O10">
        <v>67</v>
      </c>
      <c r="P10">
        <v>87</v>
      </c>
      <c r="Q10">
        <v>57</v>
      </c>
    </row>
    <row r="11" spans="1:17" x14ac:dyDescent="0.35">
      <c r="A11">
        <v>1024</v>
      </c>
      <c r="B11" t="s">
        <v>40</v>
      </c>
      <c r="C11" t="s">
        <v>19</v>
      </c>
      <c r="D11" t="s">
        <v>10</v>
      </c>
      <c r="E11">
        <v>58</v>
      </c>
      <c r="F11">
        <v>93</v>
      </c>
      <c r="G11">
        <v>30249</v>
      </c>
      <c r="H11" t="s">
        <v>8</v>
      </c>
    </row>
    <row r="12" spans="1:17" x14ac:dyDescent="0.35">
      <c r="A12">
        <v>1006</v>
      </c>
      <c r="B12" t="s">
        <v>22</v>
      </c>
      <c r="C12" t="s">
        <v>19</v>
      </c>
      <c r="D12" t="s">
        <v>7</v>
      </c>
      <c r="E12">
        <v>60</v>
      </c>
      <c r="F12">
        <v>85</v>
      </c>
      <c r="G12">
        <v>28750</v>
      </c>
      <c r="H12" t="s">
        <v>8</v>
      </c>
    </row>
    <row r="13" spans="1:17" x14ac:dyDescent="0.35">
      <c r="A13">
        <v>1025</v>
      </c>
      <c r="B13" t="s">
        <v>41</v>
      </c>
      <c r="C13" t="s">
        <v>15</v>
      </c>
      <c r="D13" t="s">
        <v>5</v>
      </c>
      <c r="E13">
        <v>61</v>
      </c>
      <c r="F13">
        <v>98</v>
      </c>
      <c r="G13">
        <v>31999</v>
      </c>
      <c r="H13" t="s">
        <v>6</v>
      </c>
      <c r="J13" t="s">
        <v>69</v>
      </c>
      <c r="K13" t="e">
        <f ca="1">XLOOKUP(1010,A1:A31,D1:D31)</f>
        <v>#NAME?</v>
      </c>
    </row>
    <row r="14" spans="1:17" x14ac:dyDescent="0.35">
      <c r="A14">
        <v>1007</v>
      </c>
      <c r="B14" t="s">
        <v>23</v>
      </c>
      <c r="C14" t="s">
        <v>15</v>
      </c>
      <c r="D14" t="s">
        <v>9</v>
      </c>
      <c r="E14">
        <v>63</v>
      </c>
      <c r="F14">
        <v>90</v>
      </c>
      <c r="G14">
        <v>30500</v>
      </c>
      <c r="H14" t="s">
        <v>6</v>
      </c>
      <c r="K14" t="e">
        <f ca="1">XLOOKUP(102,M8:Q8,M10:Q10)</f>
        <v>#NAME?</v>
      </c>
    </row>
    <row r="15" spans="1:17" x14ac:dyDescent="0.35">
      <c r="A15">
        <v>1026</v>
      </c>
      <c r="B15" t="s">
        <v>42</v>
      </c>
      <c r="C15" t="s">
        <v>17</v>
      </c>
      <c r="D15" t="s">
        <v>7</v>
      </c>
      <c r="E15">
        <v>64</v>
      </c>
      <c r="F15">
        <v>62</v>
      </c>
      <c r="G15">
        <v>33749</v>
      </c>
      <c r="H15" t="s">
        <v>8</v>
      </c>
    </row>
    <row r="16" spans="1:17" x14ac:dyDescent="0.35">
      <c r="A16">
        <v>1008</v>
      </c>
      <c r="B16" t="s">
        <v>24</v>
      </c>
      <c r="C16" t="s">
        <v>17</v>
      </c>
      <c r="D16" t="s">
        <v>10</v>
      </c>
      <c r="E16">
        <v>66</v>
      </c>
      <c r="F16">
        <v>95</v>
      </c>
      <c r="G16">
        <v>32250</v>
      </c>
      <c r="H16" t="s">
        <v>8</v>
      </c>
    </row>
    <row r="17" spans="1:11" x14ac:dyDescent="0.35">
      <c r="A17">
        <v>1027</v>
      </c>
      <c r="B17" t="s">
        <v>43</v>
      </c>
      <c r="C17" t="s">
        <v>19</v>
      </c>
      <c r="D17" t="s">
        <v>9</v>
      </c>
      <c r="E17">
        <v>67</v>
      </c>
      <c r="F17">
        <v>67</v>
      </c>
      <c r="G17">
        <v>35499</v>
      </c>
      <c r="H17" t="s">
        <v>6</v>
      </c>
      <c r="J17" t="s">
        <v>70</v>
      </c>
      <c r="K17">
        <f>MATCH("Sakshi",B1:B31,0)</f>
        <v>15</v>
      </c>
    </row>
    <row r="18" spans="1:11" x14ac:dyDescent="0.35">
      <c r="A18">
        <v>1009</v>
      </c>
      <c r="B18" t="s">
        <v>25</v>
      </c>
      <c r="C18" t="s">
        <v>19</v>
      </c>
      <c r="D18" t="s">
        <v>5</v>
      </c>
      <c r="E18">
        <v>69</v>
      </c>
      <c r="F18">
        <v>100</v>
      </c>
      <c r="G18">
        <v>34000</v>
      </c>
      <c r="H18" t="s">
        <v>6</v>
      </c>
      <c r="K18">
        <f>MATCH("Python",D1:D31,0)</f>
        <v>4</v>
      </c>
    </row>
    <row r="19" spans="1:11" x14ac:dyDescent="0.35">
      <c r="A19">
        <v>1028</v>
      </c>
      <c r="B19" t="s">
        <v>44</v>
      </c>
      <c r="C19" t="s">
        <v>15</v>
      </c>
      <c r="D19" t="s">
        <v>10</v>
      </c>
      <c r="E19">
        <v>70</v>
      </c>
      <c r="F19">
        <v>72</v>
      </c>
      <c r="G19">
        <v>37249</v>
      </c>
      <c r="H19" t="s">
        <v>8</v>
      </c>
    </row>
    <row r="20" spans="1:11" x14ac:dyDescent="0.35">
      <c r="A20">
        <v>1010</v>
      </c>
      <c r="B20" t="s">
        <v>26</v>
      </c>
      <c r="C20" t="s">
        <v>15</v>
      </c>
      <c r="D20" t="s">
        <v>7</v>
      </c>
      <c r="E20">
        <v>72</v>
      </c>
      <c r="F20">
        <v>64</v>
      </c>
      <c r="G20">
        <v>35750</v>
      </c>
      <c r="H20" t="s">
        <v>8</v>
      </c>
    </row>
    <row r="21" spans="1:11" x14ac:dyDescent="0.35">
      <c r="A21">
        <v>1029</v>
      </c>
      <c r="B21" t="s">
        <v>45</v>
      </c>
      <c r="C21" t="s">
        <v>17</v>
      </c>
      <c r="D21" t="s">
        <v>5</v>
      </c>
      <c r="E21">
        <v>73</v>
      </c>
      <c r="F21">
        <v>77</v>
      </c>
      <c r="G21">
        <v>38999</v>
      </c>
      <c r="H21" t="s">
        <v>6</v>
      </c>
      <c r="J21" t="s">
        <v>71</v>
      </c>
      <c r="K21" t="str">
        <f>INDEX(A1:H31,27,2)</f>
        <v>Rahul</v>
      </c>
    </row>
    <row r="22" spans="1:11" x14ac:dyDescent="0.35">
      <c r="A22">
        <v>1011</v>
      </c>
      <c r="B22" t="s">
        <v>27</v>
      </c>
      <c r="C22" t="s">
        <v>17</v>
      </c>
      <c r="D22" t="s">
        <v>9</v>
      </c>
      <c r="E22">
        <v>75</v>
      </c>
      <c r="F22">
        <v>69</v>
      </c>
      <c r="G22">
        <v>37500</v>
      </c>
      <c r="H22" t="s">
        <v>6</v>
      </c>
      <c r="K22" t="str">
        <f>INDEX(A1:H31,20,8)</f>
        <v>Female</v>
      </c>
    </row>
    <row r="23" spans="1:11" x14ac:dyDescent="0.35">
      <c r="A23">
        <v>1030</v>
      </c>
      <c r="B23" t="s">
        <v>46</v>
      </c>
      <c r="C23" t="s">
        <v>19</v>
      </c>
      <c r="D23" t="s">
        <v>7</v>
      </c>
      <c r="E23">
        <v>76</v>
      </c>
      <c r="F23">
        <v>82</v>
      </c>
      <c r="G23">
        <v>40749</v>
      </c>
      <c r="H23" t="s">
        <v>8</v>
      </c>
    </row>
    <row r="24" spans="1:11" x14ac:dyDescent="0.35">
      <c r="A24">
        <v>1012</v>
      </c>
      <c r="B24" t="s">
        <v>28</v>
      </c>
      <c r="C24" t="s">
        <v>19</v>
      </c>
      <c r="D24" t="s">
        <v>10</v>
      </c>
      <c r="E24">
        <v>78</v>
      </c>
      <c r="F24">
        <v>74</v>
      </c>
      <c r="G24">
        <v>39250</v>
      </c>
      <c r="H24" t="s">
        <v>8</v>
      </c>
    </row>
    <row r="25" spans="1:11" x14ac:dyDescent="0.35">
      <c r="A25">
        <v>1013</v>
      </c>
      <c r="B25" t="s">
        <v>29</v>
      </c>
      <c r="C25" t="s">
        <v>15</v>
      </c>
      <c r="D25" t="s">
        <v>5</v>
      </c>
      <c r="E25">
        <v>81</v>
      </c>
      <c r="F25">
        <v>79</v>
      </c>
      <c r="G25">
        <v>41000</v>
      </c>
      <c r="H25" t="s">
        <v>6</v>
      </c>
    </row>
    <row r="26" spans="1:11" x14ac:dyDescent="0.35">
      <c r="A26">
        <v>1014</v>
      </c>
      <c r="B26" t="s">
        <v>30</v>
      </c>
      <c r="C26" t="s">
        <v>17</v>
      </c>
      <c r="D26" t="s">
        <v>7</v>
      </c>
      <c r="E26">
        <v>84</v>
      </c>
      <c r="F26">
        <v>84</v>
      </c>
      <c r="G26">
        <v>42750</v>
      </c>
      <c r="H26" t="s">
        <v>8</v>
      </c>
    </row>
    <row r="27" spans="1:11" x14ac:dyDescent="0.35">
      <c r="A27">
        <v>1015</v>
      </c>
      <c r="B27" t="s">
        <v>31</v>
      </c>
      <c r="C27" t="s">
        <v>19</v>
      </c>
      <c r="D27" t="s">
        <v>9</v>
      </c>
      <c r="E27">
        <v>87</v>
      </c>
      <c r="F27">
        <v>89</v>
      </c>
      <c r="G27">
        <v>44500</v>
      </c>
      <c r="H27" t="s">
        <v>6</v>
      </c>
    </row>
    <row r="28" spans="1:11" x14ac:dyDescent="0.35">
      <c r="A28">
        <v>1016</v>
      </c>
      <c r="B28" t="s">
        <v>32</v>
      </c>
      <c r="C28" t="s">
        <v>15</v>
      </c>
      <c r="D28" t="s">
        <v>10</v>
      </c>
      <c r="E28">
        <v>90</v>
      </c>
      <c r="F28">
        <v>94</v>
      </c>
      <c r="G28">
        <v>46250</v>
      </c>
      <c r="H28" t="s">
        <v>8</v>
      </c>
    </row>
    <row r="29" spans="1:11" x14ac:dyDescent="0.35">
      <c r="A29">
        <v>1017</v>
      </c>
      <c r="B29" t="s">
        <v>33</v>
      </c>
      <c r="C29" t="s">
        <v>17</v>
      </c>
      <c r="D29" t="s">
        <v>5</v>
      </c>
      <c r="E29">
        <v>93</v>
      </c>
      <c r="F29">
        <v>99</v>
      </c>
      <c r="G29">
        <v>48000</v>
      </c>
      <c r="H29" t="s">
        <v>6</v>
      </c>
    </row>
    <row r="30" spans="1:11" x14ac:dyDescent="0.35">
      <c r="A30">
        <v>1018</v>
      </c>
      <c r="B30" t="s">
        <v>34</v>
      </c>
      <c r="C30" t="s">
        <v>19</v>
      </c>
      <c r="D30" t="s">
        <v>7</v>
      </c>
      <c r="E30">
        <v>96</v>
      </c>
      <c r="F30">
        <v>63</v>
      </c>
      <c r="G30">
        <v>49750</v>
      </c>
      <c r="H30" t="s">
        <v>8</v>
      </c>
    </row>
    <row r="31" spans="1:11" x14ac:dyDescent="0.35">
      <c r="A31">
        <v>1019</v>
      </c>
      <c r="B31" t="s">
        <v>35</v>
      </c>
      <c r="C31" t="s">
        <v>15</v>
      </c>
      <c r="D31" t="s">
        <v>9</v>
      </c>
      <c r="E31">
        <v>99</v>
      </c>
      <c r="F31">
        <v>68</v>
      </c>
      <c r="G31">
        <v>21499</v>
      </c>
      <c r="H31" t="s">
        <v>6</v>
      </c>
    </row>
  </sheetData>
  <sortState ref="A2:H31">
    <sortCondition ref="E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selection activeCell="H2" sqref="H2"/>
    </sheetView>
  </sheetViews>
  <sheetFormatPr defaultRowHeight="14.5" x14ac:dyDescent="0.35"/>
  <cols>
    <col min="1" max="1" width="9.7265625" bestFit="1" customWidth="1"/>
    <col min="2" max="3" width="9.7265625" customWidth="1"/>
    <col min="4" max="4" width="10.54296875" bestFit="1" customWidth="1"/>
  </cols>
  <sheetData>
    <row r="1" spans="1:8" x14ac:dyDescent="0.35">
      <c r="A1" t="s">
        <v>72</v>
      </c>
      <c r="B1" t="s">
        <v>74</v>
      </c>
      <c r="C1" t="s">
        <v>75</v>
      </c>
      <c r="D1" t="s">
        <v>73</v>
      </c>
      <c r="E1" t="s">
        <v>76</v>
      </c>
      <c r="F1" t="s">
        <v>77</v>
      </c>
      <c r="G1" t="s">
        <v>78</v>
      </c>
      <c r="H1" t="s">
        <v>69</v>
      </c>
    </row>
    <row r="2" spans="1:8" x14ac:dyDescent="0.35">
      <c r="A2">
        <v>1001</v>
      </c>
      <c r="B2" t="str">
        <f>VLOOKUP(A2,Sheet3!A1:H31,2,FALSE)</f>
        <v>Aarav</v>
      </c>
      <c r="C2" t="str">
        <f>VLOOKUP(A2,Sheet3!A1:H31,4,FALSE)</f>
        <v>DA</v>
      </c>
      <c r="D2">
        <v>8</v>
      </c>
      <c r="E2">
        <f>D2*D2</f>
        <v>64</v>
      </c>
      <c r="F2">
        <f>$D$2*$D$2</f>
        <v>64</v>
      </c>
      <c r="G2">
        <f>$D$2*$D$2</f>
        <v>64</v>
      </c>
      <c r="H2" t="e">
        <f ca="1">XLOOKUP(C2,Sheet3!A1:H31,Sheet3!C1:C31,FALSE)</f>
        <v>#NAME?</v>
      </c>
    </row>
    <row r="3" spans="1:8" x14ac:dyDescent="0.35">
      <c r="A3">
        <v>1030</v>
      </c>
      <c r="B3" t="str">
        <f>VLOOKUP(A3,Sheet3!A2:H32,2,FALSE)</f>
        <v>Vaishnavi</v>
      </c>
      <c r="C3" t="str">
        <f>VLOOKUP(A3,Sheet3!A2:H32,4,FALSE)</f>
        <v>Python</v>
      </c>
      <c r="D3">
        <v>7</v>
      </c>
      <c r="E3">
        <f t="shared" ref="E3:E6" si="0">D3*D3</f>
        <v>49</v>
      </c>
      <c r="F3">
        <f t="shared" ref="F3:G6" si="1">$D$2*$D$2</f>
        <v>64</v>
      </c>
      <c r="G3">
        <f t="shared" si="1"/>
        <v>64</v>
      </c>
    </row>
    <row r="4" spans="1:8" x14ac:dyDescent="0.35">
      <c r="A4">
        <v>1018</v>
      </c>
      <c r="B4" t="str">
        <f>VLOOKUP(A4,Sheet3!A3:H33,2,FALSE)</f>
        <v>Meera</v>
      </c>
      <c r="C4" t="str">
        <f>VLOOKUP(A4,Sheet3!A3:H33,4,FALSE)</f>
        <v>Python</v>
      </c>
      <c r="D4">
        <v>4</v>
      </c>
      <c r="E4">
        <f t="shared" si="0"/>
        <v>16</v>
      </c>
      <c r="F4">
        <f t="shared" si="1"/>
        <v>64</v>
      </c>
      <c r="G4">
        <f t="shared" si="1"/>
        <v>64</v>
      </c>
    </row>
    <row r="5" spans="1:8" x14ac:dyDescent="0.35">
      <c r="A5">
        <v>1010</v>
      </c>
      <c r="B5" t="str">
        <f>VLOOKUP(A5,Sheet3!A4:H34,2,FALSE)</f>
        <v>Ananya</v>
      </c>
      <c r="C5" t="str">
        <f>VLOOKUP(A5,Sheet3!A4:H34,4,FALSE)</f>
        <v>Python</v>
      </c>
      <c r="D5">
        <v>5</v>
      </c>
      <c r="E5">
        <f t="shared" si="0"/>
        <v>25</v>
      </c>
      <c r="F5">
        <f t="shared" si="1"/>
        <v>64</v>
      </c>
      <c r="G5">
        <f t="shared" si="1"/>
        <v>64</v>
      </c>
    </row>
    <row r="6" spans="1:8" x14ac:dyDescent="0.35">
      <c r="A6">
        <v>1012</v>
      </c>
      <c r="B6" t="str">
        <f>VLOOKUP(A6,Sheet3!A5:H35,2,FALSE)</f>
        <v>Karan</v>
      </c>
      <c r="C6" t="str">
        <f>VLOOKUP(A6,Sheet3!A5:H35,4,FALSE)</f>
        <v>Testing</v>
      </c>
      <c r="D6">
        <v>3</v>
      </c>
      <c r="E6">
        <f t="shared" si="0"/>
        <v>9</v>
      </c>
      <c r="F6">
        <f t="shared" si="1"/>
        <v>64</v>
      </c>
      <c r="G6">
        <f t="shared" si="1"/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2026-06-29T11:39:15Z</dcterms:created>
  <dcterms:modified xsi:type="dcterms:W3CDTF">2026-06-30T11:52:48Z</dcterms:modified>
</cp:coreProperties>
</file>