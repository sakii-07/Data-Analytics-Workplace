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Data-Analytics-Workplace\Data Analytics\Data Analytics\Excel\"/>
    </mc:Choice>
  </mc:AlternateContent>
  <bookViews>
    <workbookView xWindow="0" yWindow="0" windowWidth="19200" windowHeight="6930"/>
  </bookViews>
  <sheets>
    <sheet name="Sheet3" sheetId="3" r:id="rId1"/>
    <sheet name="Sheet2" sheetId="5" r:id="rId2"/>
    <sheet name="Sheet1" sheetId="1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<sst xmlns="http://schemas.openxmlformats.org/spreadsheetml/2006/main" count="351" uniqueCount="154">
  <si>
    <t>date</t>
  </si>
  <si>
    <t>product_id</t>
  </si>
  <si>
    <t>product_name</t>
  </si>
  <si>
    <t>category</t>
  </si>
  <si>
    <t>city</t>
  </si>
  <si>
    <t>state</t>
  </si>
  <si>
    <t>quantity</t>
  </si>
  <si>
    <t>price_per_unit</t>
  </si>
  <si>
    <t>discount_in_percentage</t>
  </si>
  <si>
    <t>P001</t>
  </si>
  <si>
    <t>Laptop</t>
  </si>
  <si>
    <t>Electronics</t>
  </si>
  <si>
    <t>Mumbai</t>
  </si>
  <si>
    <t>Maharashtra</t>
  </si>
  <si>
    <t>P002</t>
  </si>
  <si>
    <t>Smartphone</t>
  </si>
  <si>
    <t>Pune</t>
  </si>
  <si>
    <t>P003</t>
  </si>
  <si>
    <t>Office Chair</t>
  </si>
  <si>
    <t>Furniture</t>
  </si>
  <si>
    <t>Nagpur</t>
  </si>
  <si>
    <t>P004</t>
  </si>
  <si>
    <t>Dining Table</t>
  </si>
  <si>
    <t>Nashik</t>
  </si>
  <si>
    <t>P005</t>
  </si>
  <si>
    <t>Printer</t>
  </si>
  <si>
    <t>Aurangabad</t>
  </si>
  <si>
    <t>P006</t>
  </si>
  <si>
    <t>Mixer</t>
  </si>
  <si>
    <t>Home Appliances</t>
  </si>
  <si>
    <t>Kolhapur</t>
  </si>
  <si>
    <t>P007</t>
  </si>
  <si>
    <t>Air Conditioner</t>
  </si>
  <si>
    <t>Solapur</t>
  </si>
  <si>
    <t>P008</t>
  </si>
  <si>
    <t>Microwave</t>
  </si>
  <si>
    <t>Thane</t>
  </si>
  <si>
    <t>P009</t>
  </si>
  <si>
    <t>Shoes</t>
  </si>
  <si>
    <t>Fashion</t>
  </si>
  <si>
    <t>P010</t>
  </si>
  <si>
    <t>Backpack</t>
  </si>
  <si>
    <t>P011</t>
  </si>
  <si>
    <t>Ahmedabad</t>
  </si>
  <si>
    <t>Gujarat</t>
  </si>
  <si>
    <t>P012</t>
  </si>
  <si>
    <t>Tablet</t>
  </si>
  <si>
    <t>Surat</t>
  </si>
  <si>
    <t>P013</t>
  </si>
  <si>
    <t>Sofa</t>
  </si>
  <si>
    <t>Vadodara</t>
  </si>
  <si>
    <t>P014</t>
  </si>
  <si>
    <t>Study Table</t>
  </si>
  <si>
    <t>Rajkot</t>
  </si>
  <si>
    <t>P015</t>
  </si>
  <si>
    <t>Washing Machine</t>
  </si>
  <si>
    <t>Bhavnagar</t>
  </si>
  <si>
    <t>P016</t>
  </si>
  <si>
    <t>Refrigerator</t>
  </si>
  <si>
    <t>Jamnagar</t>
  </si>
  <si>
    <t>P017</t>
  </si>
  <si>
    <t>Headphones</t>
  </si>
  <si>
    <t>Gandhinagar</t>
  </si>
  <si>
    <t>P018</t>
  </si>
  <si>
    <t>Smart Watch</t>
  </si>
  <si>
    <t>Anand</t>
  </si>
  <si>
    <t>P019</t>
  </si>
  <si>
    <t>T-Shirt</t>
  </si>
  <si>
    <t>P020</t>
  </si>
  <si>
    <t>Jeans</t>
  </si>
  <si>
    <t>P021</t>
  </si>
  <si>
    <t>Jaipur</t>
  </si>
  <si>
    <t>Rajasthan</t>
  </si>
  <si>
    <t>P022</t>
  </si>
  <si>
    <t>Keyboard</t>
  </si>
  <si>
    <t>Jodhpur</t>
  </si>
  <si>
    <t>P023</t>
  </si>
  <si>
    <t>Mouse</t>
  </si>
  <si>
    <t>Udaipur</t>
  </si>
  <si>
    <t>P024</t>
  </si>
  <si>
    <t>Office Desk</t>
  </si>
  <si>
    <t>Kota</t>
  </si>
  <si>
    <t>P025</t>
  </si>
  <si>
    <t>Bookshelf</t>
  </si>
  <si>
    <t>Ajmer</t>
  </si>
  <si>
    <t>P026</t>
  </si>
  <si>
    <t>Ceiling Fan</t>
  </si>
  <si>
    <t>Bikaner</t>
  </si>
  <si>
    <t>P027</t>
  </si>
  <si>
    <t>Cooler</t>
  </si>
  <si>
    <t>Alwar</t>
  </si>
  <si>
    <t>P028</t>
  </si>
  <si>
    <t>Television</t>
  </si>
  <si>
    <t>Bharatpur</t>
  </si>
  <si>
    <t>P029</t>
  </si>
  <si>
    <t>Jacket</t>
  </si>
  <si>
    <t>P030</t>
  </si>
  <si>
    <t>Sandals</t>
  </si>
  <si>
    <t>P031</t>
  </si>
  <si>
    <t>Bengaluru</t>
  </si>
  <si>
    <t>Karnataka</t>
  </si>
  <si>
    <t>P032</t>
  </si>
  <si>
    <t>Mysuru</t>
  </si>
  <si>
    <t>P033</t>
  </si>
  <si>
    <t>Dining Chair</t>
  </si>
  <si>
    <t>Mangaluru</t>
  </si>
  <si>
    <t>P034</t>
  </si>
  <si>
    <t>Coffee Table</t>
  </si>
  <si>
    <t>Hubballi</t>
  </si>
  <si>
    <t>P035</t>
  </si>
  <si>
    <t>Induction Stove</t>
  </si>
  <si>
    <t>Belagavi</t>
  </si>
  <si>
    <t>P036</t>
  </si>
  <si>
    <t>Water Purifier</t>
  </si>
  <si>
    <t>Shivamogga</t>
  </si>
  <si>
    <t>P037</t>
  </si>
  <si>
    <t>Vacuum Cleaner</t>
  </si>
  <si>
    <t>Davanagere</t>
  </si>
  <si>
    <t>P038</t>
  </si>
  <si>
    <t>Bluetooth Speaker</t>
  </si>
  <si>
    <t>Ballari</t>
  </si>
  <si>
    <t>P039</t>
  </si>
  <si>
    <t>Hoodie</t>
  </si>
  <si>
    <t>P040</t>
  </si>
  <si>
    <t>Cap</t>
  </si>
  <si>
    <t>P041</t>
  </si>
  <si>
    <t>Camera</t>
  </si>
  <si>
    <t>P042</t>
  </si>
  <si>
    <t>Monitor</t>
  </si>
  <si>
    <t>P043</t>
  </si>
  <si>
    <t>Router</t>
  </si>
  <si>
    <t>P044</t>
  </si>
  <si>
    <t>Power Bank</t>
  </si>
  <si>
    <t>P045</t>
  </si>
  <si>
    <t>Air Fryer</t>
  </si>
  <si>
    <t>P046</t>
  </si>
  <si>
    <t>Wardrobe</t>
  </si>
  <si>
    <t>P047</t>
  </si>
  <si>
    <t>Gaming Mouse</t>
  </si>
  <si>
    <t>P048</t>
  </si>
  <si>
    <t>Desk Lamp</t>
  </si>
  <si>
    <t>P049</t>
  </si>
  <si>
    <t>Sneakers</t>
  </si>
  <si>
    <t>P050</t>
  </si>
  <si>
    <t>Office Cabinet</t>
  </si>
  <si>
    <t>Row Labels</t>
  </si>
  <si>
    <t>Grand Total</t>
  </si>
  <si>
    <t>selling_price</t>
  </si>
  <si>
    <t>sales</t>
  </si>
  <si>
    <t>Sum of sales</t>
  </si>
  <si>
    <t>Column Labels</t>
  </si>
  <si>
    <t>(All)</t>
  </si>
  <si>
    <t>Average of sales2</t>
  </si>
  <si>
    <t>Count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</si>
</sst>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[jun30.xlsx]Sheet3!PivotTable2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Sheet3!$A$4:$A$8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 Appliances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5924478</c:v>
                </c:pt>
                <c:pt idx="1">
                  <c:v>406050</c:v>
                </c:pt>
                <c:pt idx="2">
                  <c:v>961840</c:v>
                </c:pt>
                <c:pt idx="3">
                  <c:v>1292100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9-4203-8F29-63BC28D287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10229176"/>
        <c:axId val="410889456"/>
      </c:barChart>
      <c:catAx>
        <c:axId val="41022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 w="3175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9456"/>
        <c:crosses val="autoZero"/>
        <c:auto val="1"/>
        <c:lblAlgn val="ctr"/>
        <c:lblOffset val="100"/>
        <c:noMultiLvlLbl val="0"/>
      </c:catAx>
      <c:valAx>
        <c:axId val="4108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291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[jun30.xlsx]Sheet3!PivotTable2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64-4AEA-93D2-2ECFE32BC4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64-4AEA-93D2-2ECFE32BC4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64-4AEA-93D2-2ECFE32BC4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64-4AEA-93D2-2ECFE32BC41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  <c15:layout/>
              </c:ext>
            </c:extLst>
          </c:dLbls>
          <c:cat>
            <c:strRef>
              <c:f>Sheet3!$A$4:$A$8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 Appliances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5924478</c:v>
                </c:pt>
                <c:pt idx="1">
                  <c:v>406050</c:v>
                </c:pt>
                <c:pt idx="2">
                  <c:v>961840</c:v>
                </c:pt>
                <c:pt idx="3">
                  <c:v>1292100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2-4AA5-AF47-F59C9DD6A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[jun30.xlsx]Sheet3!PivotTable2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14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 Appliances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5924478</c:v>
                </c:pt>
                <c:pt idx="1">
                  <c:v>406050</c:v>
                </c:pt>
                <c:pt idx="2">
                  <c:v>961840</c:v>
                </c:pt>
                <c:pt idx="3">
                  <c:v>1292100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D-4F3E-BA5E-5723076544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13413600"/>
        <c:axId val="422636840"/>
      </c:lineChart>
      <c:catAx>
        <c:axId val="4134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36840"/>
        <c:crosses val="autoZero"/>
        <c:auto val="1"/>
        <c:lblAlgn val="ctr"/>
        <c:lblOffset val="100"/>
        <c:noMultiLvlLbl val="0"/>
      </c:catAx>
      <c:valAx>
        <c:axId val="422636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34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[jun30.xlsx]Sheet3!PivotTable2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8D-44DA-846E-A8ADA4895A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8D-44DA-846E-A8ADA4895A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8D-44DA-846E-A8ADA4895A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8D-44DA-846E-A8ADA4895A79}"/>
              </c:ext>
            </c:extLst>
          </c:dPt>
          <c:cat>
            <c:strRef>
              <c:f>Sheet3!$A$4:$A$8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 Appliances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5924478</c:v>
                </c:pt>
                <c:pt idx="1">
                  <c:v>406050</c:v>
                </c:pt>
                <c:pt idx="2">
                  <c:v>961840</c:v>
                </c:pt>
                <c:pt idx="3">
                  <c:v>1292100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E-48FD-9445-31ACDE223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[jun30.xlsx]Sheet3!PivotTable3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Sheet3!$F$4:$F$5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Sheet3!$E$6:$E$10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Sheet3!$F$6:$F$10</c:f>
              <c:numCache>
                <c:formatCode>General</c:formatCode>
                <c:ptCount val="4"/>
                <c:pt idx="0">
                  <c:v>1381950</c:v>
                </c:pt>
                <c:pt idx="1">
                  <c:v>1712400</c:v>
                </c:pt>
                <c:pt idx="2">
                  <c:v>1747040</c:v>
                </c:pt>
                <c:pt idx="3">
                  <c:v>1083088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1-4B35-BC73-978F82492346}"/>
            </c:ext>
          </c:extLst>
        </c:ser>
        <c:ser>
          <c:idx val="1"/>
          <c:order val="1"/>
          <c:tx>
            <c:strRef>
              <c:f>Sheet3!$G$4:$G$5</c:f>
              <c:strCache>
                <c:ptCount val="1"/>
                <c:pt idx="0">
                  <c:v>Fashion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Sheet3!$E$6:$E$10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Sheet3!$G$6:$G$10</c:f>
              <c:numCache>
                <c:formatCode>General</c:formatCode>
                <c:ptCount val="4"/>
                <c:pt idx="0">
                  <c:v>73200</c:v>
                </c:pt>
                <c:pt idx="1">
                  <c:v>80090</c:v>
                </c:pt>
                <c:pt idx="2">
                  <c:v>154420</c:v>
                </c:pt>
                <c:pt idx="3">
                  <c:v>98340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1-4B35-BC73-978F82492346}"/>
            </c:ext>
          </c:extLst>
        </c:ser>
        <c:ser>
          <c:idx val="2"/>
          <c:order val="2"/>
          <c:tx>
            <c:strRef>
              <c:f>Sheet3!$H$4:$H$5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Sheet3!$E$6:$E$10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Sheet3!$H$6:$H$10</c:f>
              <c:numCache>
                <c:formatCode>General</c:formatCode>
                <c:ptCount val="4"/>
                <c:pt idx="0">
                  <c:v>443000</c:v>
                </c:pt>
                <c:pt idx="1">
                  <c:v>149460</c:v>
                </c:pt>
                <c:pt idx="2">
                  <c:v>209520</c:v>
                </c:pt>
                <c:pt idx="3">
                  <c:v>159860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1-4B35-BC73-978F82492346}"/>
            </c:ext>
          </c:extLst>
        </c:ser>
        <c:ser>
          <c:idx val="3"/>
          <c:order val="3"/>
          <c:tx>
            <c:strRef>
              <c:f>Sheet3!$I$4:$I$5</c:f>
              <c:strCache>
                <c:ptCount val="1"/>
                <c:pt idx="0">
                  <c:v>Home Appliances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Sheet3!$E$6:$E$10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Sheet3!$I$6:$I$10</c:f>
              <c:numCache>
                <c:formatCode>General</c:formatCode>
                <c:ptCount val="4"/>
                <c:pt idx="0">
                  <c:v>428130</c:v>
                </c:pt>
                <c:pt idx="1">
                  <c:v>260970</c:v>
                </c:pt>
                <c:pt idx="2">
                  <c:v>470940</c:v>
                </c:pt>
                <c:pt idx="3">
                  <c:v>132060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1-4B35-BC73-978F8249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7242320"/>
        <c:axId val="417242648"/>
      </c:barChart>
      <c:catAx>
        <c:axId val="4172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42648"/>
        <c:crosses val="autoZero"/>
        <c:auto val="1"/>
        <c:lblAlgn val="ctr"/>
        <c:lblOffset val="100"/>
        <c:noMultiLvlLbl val="0"/>
      </c:catAx>
      <c:valAx>
        <c:axId val="41724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dist="50800" dir="5400000" algn="ctr" rotWithShape="0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[jun30.xlsx]Sheet2!PivotTable5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AFB-4DF0-B7F7-D767DADE7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AFB-4DF0-B7F7-D767DADE7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AFB-4DF0-B7F7-D767DADE7D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AFB-4DF0-B7F7-D767DADE7D6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Sheet2!$A$4:$A$8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3-4751-B0EA-A1C5353832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[jun30.xlsx]Sheet2!PivotTable5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Gujarat</c:v>
                </c:pt>
                <c:pt idx="1">
                  <c:v>Karnataka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D-4E4C-B658-E6B8D0755C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26691848"/>
        <c:axId val="426688240"/>
        <c:axId val="0"/>
      </c:bar3DChart>
      <c:catAx>
        <c:axId val="42669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88240"/>
        <c:crosses val="autoZero"/>
        <c:auto val="1"/>
        <c:lblAlgn val="ctr"/>
        <c:lblOffset val="100"/>
        <c:noMultiLvlLbl val="0"/>
      </c:catAx>
      <c:valAx>
        <c:axId val="4266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9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365125</xdr:colOff>
      <xdr:row>14</xdr:row>
      <xdr:rowOff>149224</xdr:rowOff>
    </xdr:from>
    <xdr:to>
      <xdr:col>6</xdr:col>
      <xdr:colOff>19050</xdr:colOff>
      <xdr:row>32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625475</xdr:colOff>
      <xdr:row>45</xdr:row>
      <xdr:rowOff>66675</xdr:rowOff>
    </xdr:from>
    <xdr:to>
      <xdr:col>11</xdr:col>
      <xdr:colOff>587375</xdr:colOff>
      <xdr:row>60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415925</xdr:colOff>
      <xdr:row>14</xdr:row>
      <xdr:rowOff>184149</xdr:rowOff>
    </xdr:from>
    <xdr:to>
      <xdr:col>13</xdr:col>
      <xdr:colOff>196850</xdr:colOff>
      <xdr:row>29</xdr:row>
      <xdr:rowOff>123824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581025</xdr:colOff>
      <xdr:row>29</xdr:row>
      <xdr:rowOff>161925</xdr:rowOff>
    </xdr:from>
    <xdr:to>
      <xdr:col>11</xdr:col>
      <xdr:colOff>542925</xdr:colOff>
      <xdr:row>44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688975</xdr:colOff>
      <xdr:row>62</xdr:row>
      <xdr:rowOff>123825</xdr:rowOff>
    </xdr:from>
    <xdr:to>
      <xdr:col>10</xdr:col>
      <xdr:colOff>339725</xdr:colOff>
      <xdr:row>81</xdr:row>
      <xdr:rowOff>8975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434975</xdr:colOff>
      <xdr:row>3</xdr:row>
      <xdr:rowOff>168275</xdr:rowOff>
    </xdr:from>
    <xdr:to>
      <xdr:col>11</xdr:col>
      <xdr:colOff>130175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742950</xdr:colOff>
      <xdr:row>20</xdr:row>
      <xdr:rowOff>22225</xdr:rowOff>
    </xdr:from>
    <xdr:to>
      <xdr:col>7</xdr:col>
      <xdr:colOff>603250</xdr:colOff>
      <xdr:row>35</xdr:row>
      <xdr:rowOff>3175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03.73583553241" createdVersion="6" refreshedVersion="6" minRefreshableVersion="3" recordCount="50">
  <cacheSource type="worksheet">
    <worksheetSource ref="A1:K51" sheet="Sheet1"/>
  </cacheSource>
  <cacheFields count="11">
    <cacheField name="date" numFmtId="164">
      <sharedItems containsSemiMixedTypes="0" containsNonDate="0" containsDate="1" containsString="0" minDate="2025-01-05T00:00:00" maxDate="2025-12-15T00:00:00"/>
    </cacheField>
    <cacheField name="product_id" numFmtId="0">
      <sharedItems/>
    </cacheField>
    <cacheField name="product_name" numFmtId="0">
      <sharedItems count="46">
        <s v="Laptop"/>
        <s v="Smartphone"/>
        <s v="Office Chair"/>
        <s v="Dining Table"/>
        <s v="Printer"/>
        <s v="Mixer"/>
        <s v="Air Conditioner"/>
        <s v="Microwave"/>
        <s v="Shoes"/>
        <s v="Backpack"/>
        <s v="Tablet"/>
        <s v="Sofa"/>
        <s v="Study Table"/>
        <s v="Washing Machine"/>
        <s v="Refrigerator"/>
        <s v="Headphones"/>
        <s v="Smart Watch"/>
        <s v="T-Shirt"/>
        <s v="Jeans"/>
        <s v="Keyboard"/>
        <s v="Mouse"/>
        <s v="Office Desk"/>
        <s v="Bookshelf"/>
        <s v="Ceiling Fan"/>
        <s v="Cooler"/>
        <s v="Television"/>
        <s v="Jacket"/>
        <s v="Sandals"/>
        <s v="Dining Chair"/>
        <s v="Coffee Table"/>
        <s v="Induction Stove"/>
        <s v="Water Purifier"/>
        <s v="Vacuum Cleaner"/>
        <s v="Bluetooth Speaker"/>
        <s v="Hoodie"/>
        <s v="Cap"/>
        <s v="Camera"/>
        <s v="Monitor"/>
        <s v="Router"/>
        <s v="Power Bank"/>
        <s v="Air Fryer"/>
        <s v="Wardrobe"/>
        <s v="Gaming Mouse"/>
        <s v="Desk Lamp"/>
        <s v="Sneakers"/>
        <s v="Office Cabinet"/>
      </sharedItems>
    </cacheField>
    <cacheField name="category" numFmtId="0">
      <sharedItems count="4">
        <s v="Electronics"/>
        <s v="Furniture"/>
        <s v="Home Appliances"/>
        <s v="Fashion"/>
      </sharedItems>
    </cacheField>
    <cacheField name="city" numFmtId="0">
      <sharedItems count="32">
        <s v="Mumbai"/>
        <s v="Pune"/>
        <s v="Nagpur"/>
        <s v="Nashik"/>
        <s v="Aurangabad"/>
        <s v="Kolhapur"/>
        <s v="Solapur"/>
        <s v="Thane"/>
        <s v="Ahmedabad"/>
        <s v="Surat"/>
        <s v="Vadodara"/>
        <s v="Rajkot"/>
        <s v="Bhavnagar"/>
        <s v="Jamnagar"/>
        <s v="Gandhinagar"/>
        <s v="Anand"/>
        <s v="Jaipur"/>
        <s v="Jodhpur"/>
        <s v="Udaipur"/>
        <s v="Kota"/>
        <s v="Ajmer"/>
        <s v="Bikaner"/>
        <s v="Alwar"/>
        <s v="Bharatpur"/>
        <s v="Bengaluru"/>
        <s v="Mysuru"/>
        <s v="Mangaluru"/>
        <s v="Hubballi"/>
        <s v="Belagavi"/>
        <s v="Shivamogga"/>
        <s v="Davanagere"/>
        <s v="Ballari"/>
      </sharedItems>
    </cacheField>
    <cacheField name="state" numFmtId="0">
      <sharedItems count="4">
        <s v="Maharashtra"/>
        <s v="Gujarat"/>
        <s v="Rajasthan"/>
        <s v="Karnataka"/>
      </sharedItems>
    </cacheField>
    <cacheField name="quantity" numFmtId="0">
      <sharedItems containsSemiMixedTypes="0" containsString="0" containsNumber="1" containsInteger="1" minValue="4" maxValue="50"/>
    </cacheField>
    <cacheField name="price_per_unit" numFmtId="0">
      <sharedItems containsSemiMixedTypes="0" containsString="0" containsNumber="1" containsInteger="1" minValue="600" maxValue="67000"/>
    </cacheField>
    <cacheField name="discount_in_percentage" numFmtId="0">
      <sharedItems containsSemiMixedTypes="0" containsString="0" containsNumber="1" containsInteger="1" minValue="5" maxValue="25"/>
    </cacheField>
    <cacheField name="selling_price" numFmtId="0">
      <sharedItems containsSemiMixedTypes="0" containsString="0" containsNumber="1" containsInteger="1" minValue="450" maxValue="60300"/>
    </cacheField>
    <cacheField name="sales" numFmtId="0">
      <sharedItems containsSemiMixedTypes="0" containsString="0" containsNumber="1" containsInteger="1" minValue="20250" maxValue="844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5-01-05T00:00:00"/>
    <s v="P001"/>
    <x v="0"/>
    <x v="0"/>
    <x v="0"/>
    <x v="0"/>
    <n v="12"/>
    <n v="65000"/>
    <n v="10"/>
    <n v="58500"/>
    <n v="702000"/>
  </r>
  <r>
    <d v="2025-01-12T00:00:00"/>
    <s v="P002"/>
    <x v="1"/>
    <x v="0"/>
    <x v="1"/>
    <x v="0"/>
    <n v="25"/>
    <n v="28000"/>
    <n v="8"/>
    <n v="25760"/>
    <n v="644000"/>
  </r>
  <r>
    <d v="2025-01-19T00:00:00"/>
    <s v="P003"/>
    <x v="2"/>
    <x v="1"/>
    <x v="2"/>
    <x v="0"/>
    <n v="18"/>
    <n v="5500"/>
    <n v="12"/>
    <n v="4840"/>
    <n v="87120"/>
  </r>
  <r>
    <d v="2025-01-26T00:00:00"/>
    <s v="P004"/>
    <x v="3"/>
    <x v="1"/>
    <x v="3"/>
    <x v="0"/>
    <n v="8"/>
    <n v="18000"/>
    <n v="15"/>
    <n v="15300"/>
    <n v="122400"/>
  </r>
  <r>
    <d v="2025-02-02T00:00:00"/>
    <s v="P005"/>
    <x v="4"/>
    <x v="0"/>
    <x v="4"/>
    <x v="0"/>
    <n v="10"/>
    <n v="12000"/>
    <n v="5"/>
    <n v="11400"/>
    <n v="114000"/>
  </r>
  <r>
    <d v="2025-02-09T00:00:00"/>
    <s v="P006"/>
    <x v="5"/>
    <x v="2"/>
    <x v="5"/>
    <x v="0"/>
    <n v="20"/>
    <n v="3500"/>
    <n v="18"/>
    <n v="2870"/>
    <n v="57400"/>
  </r>
  <r>
    <d v="2025-02-16T00:00:00"/>
    <s v="P007"/>
    <x v="6"/>
    <x v="2"/>
    <x v="6"/>
    <x v="0"/>
    <n v="6"/>
    <n v="42000"/>
    <n v="10"/>
    <n v="37800"/>
    <n v="226800"/>
  </r>
  <r>
    <d v="2025-02-23T00:00:00"/>
    <s v="P008"/>
    <x v="7"/>
    <x v="2"/>
    <x v="7"/>
    <x v="0"/>
    <n v="14"/>
    <n v="9500"/>
    <n v="12"/>
    <n v="8360"/>
    <n v="117040"/>
  </r>
  <r>
    <d v="2025-03-02T00:00:00"/>
    <s v="P009"/>
    <x v="8"/>
    <x v="3"/>
    <x v="0"/>
    <x v="0"/>
    <n v="35"/>
    <n v="2200"/>
    <n v="20"/>
    <n v="1760"/>
    <n v="61600"/>
  </r>
  <r>
    <d v="2025-03-09T00:00:00"/>
    <s v="P010"/>
    <x v="9"/>
    <x v="3"/>
    <x v="1"/>
    <x v="0"/>
    <n v="28"/>
    <n v="1800"/>
    <n v="15"/>
    <n v="1530"/>
    <n v="42840"/>
  </r>
  <r>
    <d v="2025-03-16T00:00:00"/>
    <s v="P011"/>
    <x v="0"/>
    <x v="0"/>
    <x v="8"/>
    <x v="1"/>
    <n v="10"/>
    <n v="62000"/>
    <n v="9"/>
    <n v="56420"/>
    <n v="564200"/>
  </r>
  <r>
    <d v="2025-03-23T00:00:00"/>
    <s v="P012"/>
    <x v="10"/>
    <x v="0"/>
    <x v="9"/>
    <x v="1"/>
    <n v="16"/>
    <n v="24000"/>
    <n v="10"/>
    <n v="21600"/>
    <n v="345600"/>
  </r>
  <r>
    <d v="2025-03-30T00:00:00"/>
    <s v="P013"/>
    <x v="11"/>
    <x v="1"/>
    <x v="10"/>
    <x v="1"/>
    <n v="5"/>
    <n v="28000"/>
    <n v="12"/>
    <n v="24640"/>
    <n v="123200"/>
  </r>
  <r>
    <d v="2025-04-06T00:00:00"/>
    <s v="P014"/>
    <x v="12"/>
    <x v="1"/>
    <x v="11"/>
    <x v="1"/>
    <n v="15"/>
    <n v="7000"/>
    <n v="8"/>
    <n v="6440"/>
    <n v="96600"/>
  </r>
  <r>
    <d v="2025-04-13T00:00:00"/>
    <s v="P015"/>
    <x v="13"/>
    <x v="2"/>
    <x v="12"/>
    <x v="1"/>
    <n v="7"/>
    <n v="26000"/>
    <n v="10"/>
    <n v="23400"/>
    <n v="163800"/>
  </r>
  <r>
    <d v="2025-04-20T00:00:00"/>
    <s v="P016"/>
    <x v="14"/>
    <x v="2"/>
    <x v="13"/>
    <x v="1"/>
    <n v="9"/>
    <n v="33000"/>
    <n v="11"/>
    <n v="29370"/>
    <n v="264330"/>
  </r>
  <r>
    <d v="2025-04-27T00:00:00"/>
    <s v="P017"/>
    <x v="15"/>
    <x v="0"/>
    <x v="14"/>
    <x v="1"/>
    <n v="40"/>
    <n v="2500"/>
    <n v="18"/>
    <n v="2050"/>
    <n v="82000"/>
  </r>
  <r>
    <d v="2025-05-04T00:00:00"/>
    <s v="P018"/>
    <x v="16"/>
    <x v="0"/>
    <x v="15"/>
    <x v="1"/>
    <n v="22"/>
    <n v="9000"/>
    <n v="15"/>
    <n v="7650"/>
    <n v="168300"/>
  </r>
  <r>
    <d v="2025-05-11T00:00:00"/>
    <s v="P019"/>
    <x v="17"/>
    <x v="3"/>
    <x v="8"/>
    <x v="1"/>
    <n v="50"/>
    <n v="800"/>
    <n v="25"/>
    <n v="600"/>
    <n v="30000"/>
  </r>
  <r>
    <d v="2025-05-18T00:00:00"/>
    <s v="P020"/>
    <x v="18"/>
    <x v="3"/>
    <x v="9"/>
    <x v="1"/>
    <n v="30"/>
    <n v="1800"/>
    <n v="20"/>
    <n v="1440"/>
    <n v="43200"/>
  </r>
  <r>
    <d v="2025-05-25T00:00:00"/>
    <s v="P021"/>
    <x v="0"/>
    <x v="0"/>
    <x v="16"/>
    <x v="2"/>
    <n v="11"/>
    <n v="64000"/>
    <n v="8"/>
    <n v="58880"/>
    <n v="647680"/>
  </r>
  <r>
    <d v="2025-06-01T00:00:00"/>
    <s v="P022"/>
    <x v="19"/>
    <x v="0"/>
    <x v="17"/>
    <x v="2"/>
    <n v="32"/>
    <n v="1200"/>
    <n v="15"/>
    <n v="1020"/>
    <n v="32640"/>
  </r>
  <r>
    <d v="2025-06-08T00:00:00"/>
    <s v="P023"/>
    <x v="20"/>
    <x v="0"/>
    <x v="18"/>
    <x v="2"/>
    <n v="40"/>
    <n v="800"/>
    <n v="18"/>
    <n v="656"/>
    <n v="26240"/>
  </r>
  <r>
    <d v="2025-06-15T00:00:00"/>
    <s v="P024"/>
    <x v="21"/>
    <x v="1"/>
    <x v="19"/>
    <x v="2"/>
    <n v="10"/>
    <n v="9500"/>
    <n v="10"/>
    <n v="8550"/>
    <n v="85500"/>
  </r>
  <r>
    <d v="2025-06-22T00:00:00"/>
    <s v="P025"/>
    <x v="22"/>
    <x v="1"/>
    <x v="20"/>
    <x v="2"/>
    <n v="13"/>
    <n v="6500"/>
    <n v="12"/>
    <n v="5720"/>
    <n v="74360"/>
  </r>
  <r>
    <d v="2025-06-29T00:00:00"/>
    <s v="P026"/>
    <x v="23"/>
    <x v="2"/>
    <x v="21"/>
    <x v="2"/>
    <n v="18"/>
    <n v="2800"/>
    <n v="10"/>
    <n v="2520"/>
    <n v="45360"/>
  </r>
  <r>
    <d v="2025-07-06T00:00:00"/>
    <s v="P027"/>
    <x v="24"/>
    <x v="2"/>
    <x v="22"/>
    <x v="2"/>
    <n v="12"/>
    <n v="8500"/>
    <n v="15"/>
    <n v="7225"/>
    <n v="86700"/>
  </r>
  <r>
    <d v="2025-07-13T00:00:00"/>
    <s v="P028"/>
    <x v="25"/>
    <x v="0"/>
    <x v="23"/>
    <x v="2"/>
    <n v="8"/>
    <n v="38000"/>
    <n v="7"/>
    <n v="35340"/>
    <n v="282720"/>
  </r>
  <r>
    <d v="2025-07-20T00:00:00"/>
    <s v="P029"/>
    <x v="26"/>
    <x v="3"/>
    <x v="16"/>
    <x v="2"/>
    <n v="24"/>
    <n v="3200"/>
    <n v="20"/>
    <n v="2560"/>
    <n v="61440"/>
  </r>
  <r>
    <d v="2025-07-27T00:00:00"/>
    <s v="P030"/>
    <x v="27"/>
    <x v="3"/>
    <x v="18"/>
    <x v="2"/>
    <n v="30"/>
    <n v="1500"/>
    <n v="18"/>
    <n v="1230"/>
    <n v="36900"/>
  </r>
  <r>
    <d v="2025-08-03T00:00:00"/>
    <s v="P031"/>
    <x v="0"/>
    <x v="0"/>
    <x v="24"/>
    <x v="3"/>
    <n v="14"/>
    <n v="67000"/>
    <n v="10"/>
    <n v="60300"/>
    <n v="844200"/>
  </r>
  <r>
    <d v="2025-08-10T00:00:00"/>
    <s v="P032"/>
    <x v="1"/>
    <x v="0"/>
    <x v="25"/>
    <x v="3"/>
    <n v="26"/>
    <n v="30000"/>
    <n v="9"/>
    <n v="27300"/>
    <n v="709800"/>
  </r>
  <r>
    <d v="2025-08-17T00:00:00"/>
    <s v="P033"/>
    <x v="28"/>
    <x v="1"/>
    <x v="26"/>
    <x v="3"/>
    <n v="20"/>
    <n v="4200"/>
    <n v="14"/>
    <n v="3612"/>
    <n v="72240"/>
  </r>
  <r>
    <d v="2025-08-24T00:00:00"/>
    <s v="P034"/>
    <x v="29"/>
    <x v="1"/>
    <x v="27"/>
    <x v="3"/>
    <n v="11"/>
    <n v="7800"/>
    <n v="10"/>
    <n v="7020"/>
    <n v="77220"/>
  </r>
  <r>
    <d v="2025-08-31T00:00:00"/>
    <s v="P035"/>
    <x v="30"/>
    <x v="2"/>
    <x v="28"/>
    <x v="3"/>
    <n v="15"/>
    <n v="3500"/>
    <n v="12"/>
    <n v="3080"/>
    <n v="46200"/>
  </r>
  <r>
    <d v="2025-09-07T00:00:00"/>
    <s v="P036"/>
    <x v="31"/>
    <x v="2"/>
    <x v="29"/>
    <x v="3"/>
    <n v="9"/>
    <n v="14500"/>
    <n v="10"/>
    <n v="13050"/>
    <n v="117450"/>
  </r>
  <r>
    <d v="2025-09-14T00:00:00"/>
    <s v="P037"/>
    <x v="32"/>
    <x v="2"/>
    <x v="30"/>
    <x v="3"/>
    <n v="7"/>
    <n v="12000"/>
    <n v="15"/>
    <n v="10200"/>
    <n v="71400"/>
  </r>
  <r>
    <d v="2025-09-21T00:00:00"/>
    <s v="P038"/>
    <x v="33"/>
    <x v="0"/>
    <x v="31"/>
    <x v="3"/>
    <n v="28"/>
    <n v="4500"/>
    <n v="18"/>
    <n v="3690"/>
    <n v="103320"/>
  </r>
  <r>
    <d v="2025-09-28T00:00:00"/>
    <s v="P039"/>
    <x v="34"/>
    <x v="3"/>
    <x v="24"/>
    <x v="3"/>
    <n v="34"/>
    <n v="2200"/>
    <n v="20"/>
    <n v="1760"/>
    <n v="59840"/>
  </r>
  <r>
    <d v="2025-10-05T00:00:00"/>
    <s v="P040"/>
    <x v="35"/>
    <x v="3"/>
    <x v="25"/>
    <x v="3"/>
    <n v="45"/>
    <n v="600"/>
    <n v="25"/>
    <n v="450"/>
    <n v="20250"/>
  </r>
  <r>
    <d v="2025-10-12T00:00:00"/>
    <s v="P041"/>
    <x v="36"/>
    <x v="0"/>
    <x v="0"/>
    <x v="0"/>
    <n v="6"/>
    <n v="52000"/>
    <n v="8"/>
    <n v="47840"/>
    <n v="287040"/>
  </r>
  <r>
    <d v="2025-10-19T00:00:00"/>
    <s v="P042"/>
    <x v="37"/>
    <x v="0"/>
    <x v="8"/>
    <x v="1"/>
    <n v="17"/>
    <n v="14500"/>
    <n v="10"/>
    <n v="13050"/>
    <n v="221850"/>
  </r>
  <r>
    <d v="2025-10-26T00:00:00"/>
    <s v="P043"/>
    <x v="38"/>
    <x v="0"/>
    <x v="17"/>
    <x v="2"/>
    <n v="22"/>
    <n v="2800"/>
    <n v="12"/>
    <n v="2464"/>
    <n v="54208"/>
  </r>
  <r>
    <d v="2025-11-02T00:00:00"/>
    <s v="P044"/>
    <x v="39"/>
    <x v="0"/>
    <x v="24"/>
    <x v="3"/>
    <n v="36"/>
    <n v="1800"/>
    <n v="15"/>
    <n v="1530"/>
    <n v="55080"/>
  </r>
  <r>
    <d v="2025-11-09T00:00:00"/>
    <s v="P045"/>
    <x v="40"/>
    <x v="2"/>
    <x v="1"/>
    <x v="0"/>
    <n v="10"/>
    <n v="8500"/>
    <n v="18"/>
    <n v="6970"/>
    <n v="69700"/>
  </r>
  <r>
    <d v="2025-11-16T00:00:00"/>
    <s v="P046"/>
    <x v="41"/>
    <x v="1"/>
    <x v="9"/>
    <x v="1"/>
    <n v="4"/>
    <n v="32000"/>
    <n v="10"/>
    <n v="28800"/>
    <n v="115200"/>
  </r>
  <r>
    <d v="2025-11-23T00:00:00"/>
    <s v="P047"/>
    <x v="42"/>
    <x v="0"/>
    <x v="17"/>
    <x v="2"/>
    <n v="18"/>
    <n v="2500"/>
    <n v="12"/>
    <n v="2200"/>
    <n v="39600"/>
  </r>
  <r>
    <d v="2025-11-30T00:00:00"/>
    <s v="P048"/>
    <x v="43"/>
    <x v="2"/>
    <x v="26"/>
    <x v="3"/>
    <n v="27"/>
    <n v="1200"/>
    <n v="20"/>
    <n v="960"/>
    <n v="25920"/>
  </r>
  <r>
    <d v="2025-12-07T00:00:00"/>
    <s v="P049"/>
    <x v="44"/>
    <x v="3"/>
    <x v="2"/>
    <x v="0"/>
    <n v="21"/>
    <n v="2800"/>
    <n v="15"/>
    <n v="2380"/>
    <n v="49980"/>
  </r>
  <r>
    <d v="2025-12-14T00:00:00"/>
    <s v="P050"/>
    <x v="45"/>
    <x v="1"/>
    <x v="10"/>
    <x v="1"/>
    <n v="8"/>
    <n v="15000"/>
    <n v="10"/>
    <n v="13500"/>
    <n v="10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36:D83" firstHeaderRow="0" firstDataRow="1" firstDataCol="1"/>
  <pivotFields count="11">
    <pivotField numFmtId="164" showAll="0"/>
    <pivotField showAll="0"/>
    <pivotField axis="axisRow" showAll="0">
      <items count="47">
        <item x="6"/>
        <item x="40"/>
        <item x="9"/>
        <item x="33"/>
        <item x="22"/>
        <item x="36"/>
        <item x="35"/>
        <item x="23"/>
        <item x="29"/>
        <item x="24"/>
        <item x="43"/>
        <item x="28"/>
        <item x="3"/>
        <item x="42"/>
        <item x="15"/>
        <item x="34"/>
        <item x="30"/>
        <item x="26"/>
        <item x="18"/>
        <item x="19"/>
        <item x="0"/>
        <item x="7"/>
        <item x="5"/>
        <item x="37"/>
        <item x="20"/>
        <item x="45"/>
        <item x="2"/>
        <item x="21"/>
        <item x="39"/>
        <item x="4"/>
        <item x="14"/>
        <item x="38"/>
        <item x="27"/>
        <item x="8"/>
        <item x="16"/>
        <item x="1"/>
        <item x="44"/>
        <item x="11"/>
        <item x="12"/>
        <item x="10"/>
        <item x="25"/>
        <item x="17"/>
        <item x="32"/>
        <item x="41"/>
        <item x="13"/>
        <item x="3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Average of sales2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:J10" firstHeaderRow="1" firstDataRow="2" firstDataCol="1" rowPageCount="2" colPageCount="1"/>
  <pivotFields count="11">
    <pivotField numFmtId="164" showAll="0"/>
    <pivotField showAll="0"/>
    <pivotField axis="axisPage" showAll="0">
      <items count="47">
        <item x="6"/>
        <item x="40"/>
        <item x="9"/>
        <item x="33"/>
        <item x="22"/>
        <item x="36"/>
        <item x="35"/>
        <item x="23"/>
        <item x="29"/>
        <item x="24"/>
        <item x="43"/>
        <item x="28"/>
        <item x="3"/>
        <item x="42"/>
        <item x="15"/>
        <item x="34"/>
        <item x="30"/>
        <item x="26"/>
        <item x="18"/>
        <item x="19"/>
        <item x="0"/>
        <item x="7"/>
        <item x="5"/>
        <item x="37"/>
        <item x="20"/>
        <item x="45"/>
        <item x="2"/>
        <item x="21"/>
        <item x="39"/>
        <item x="4"/>
        <item x="14"/>
        <item x="38"/>
        <item x="27"/>
        <item x="8"/>
        <item x="16"/>
        <item x="1"/>
        <item x="44"/>
        <item x="11"/>
        <item x="12"/>
        <item x="10"/>
        <item x="25"/>
        <item x="17"/>
        <item x="32"/>
        <item x="41"/>
        <item x="13"/>
        <item x="3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Page" showAll="0">
      <items count="33">
        <item x="8"/>
        <item x="20"/>
        <item x="22"/>
        <item x="15"/>
        <item x="4"/>
        <item x="31"/>
        <item x="28"/>
        <item x="24"/>
        <item x="23"/>
        <item x="12"/>
        <item x="21"/>
        <item x="30"/>
        <item x="14"/>
        <item x="27"/>
        <item x="16"/>
        <item x="13"/>
        <item x="17"/>
        <item x="5"/>
        <item x="19"/>
        <item x="26"/>
        <item x="0"/>
        <item x="25"/>
        <item x="2"/>
        <item x="3"/>
        <item x="1"/>
        <item x="11"/>
        <item x="29"/>
        <item x="6"/>
        <item x="9"/>
        <item x="7"/>
        <item x="18"/>
        <item x="1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2">
    <pageField fld="2" hier="-1"/>
    <pageField fld="4" hier="-1"/>
  </pageFields>
  <dataFields count="1">
    <dataField name="Sum of sales" fld="10" baseField="0" baseItem="0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88:B93" firstHeaderRow="1" firstDataRow="1" firstDataCol="1"/>
  <pivotFields count="11">
    <pivotField numFmtId="164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B8" firstHeaderRow="1" firstDataRow="1" firstDataCol="1"/>
  <pivotFields count="11">
    <pivotField numFmtId="164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 rowPageCount="1" colPageCount="1"/>
  <pivotFields count="11">
    <pivotField numFmtId="164" showAll="0"/>
    <pivotField showAll="0"/>
    <pivotField showAll="0"/>
    <pivotField axis="axisPage" showAll="0">
      <items count="5">
        <item x="0"/>
        <item x="3"/>
        <item x="1"/>
        <item x="2"/>
        <item t="default"/>
      </items>
    </pivotField>
    <pivotField dataField="1" showAll="0">
      <items count="33">
        <item x="8"/>
        <item x="20"/>
        <item x="22"/>
        <item x="15"/>
        <item x="4"/>
        <item x="31"/>
        <item x="28"/>
        <item x="24"/>
        <item x="23"/>
        <item x="12"/>
        <item x="21"/>
        <item x="30"/>
        <item x="14"/>
        <item x="27"/>
        <item x="16"/>
        <item x="13"/>
        <item x="17"/>
        <item x="5"/>
        <item x="19"/>
        <item x="26"/>
        <item x="0"/>
        <item x="25"/>
        <item x="2"/>
        <item x="3"/>
        <item x="1"/>
        <item x="11"/>
        <item x="29"/>
        <item x="6"/>
        <item x="9"/>
        <item x="7"/>
        <item x="18"/>
        <item x="1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item="0" hier="-1"/>
  </pageFields>
  <dataFields count="1">
    <dataField name="Count of city" fld="4" subtotal="count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D61" zoomScaleNormal="100" workbookViewId="0">
      <selection activeCell="N75" sqref="N75"/>
    </sheetView>
  </sheetViews>
  <sheetFormatPr defaultRowHeight="14.5" x14ac:dyDescent="0.35"/>
  <cols>
    <col min="1" max="1" width="15.36328125" bestFit="1" customWidth="1"/>
    <col min="2" max="2" width="16.1796875" bestFit="1" customWidth="1"/>
    <col min="3" max="3" width="11.1796875" bestFit="1" customWidth="1"/>
    <col min="4" max="4" width="15.36328125" bestFit="1" customWidth="1"/>
    <col min="5" max="5" width="13.1796875" bestFit="1" customWidth="1"/>
    <col min="6" max="6" width="15.26953125" customWidth="1"/>
    <col min="7" max="7" width="7.26953125" customWidth="1"/>
    <col min="8" max="8" width="8.6328125" customWidth="1"/>
    <col min="9" max="9" width="15.36328125" customWidth="1"/>
    <col min="10" max="10" width="10.7265625" bestFit="1" customWidth="1"/>
  </cols>
  <sheetData>
    <row r="1" spans="1:10" x14ac:dyDescent="0.35">
      <c r="E1" s="2" t="s">
        <v>2</v>
      </c>
      <c r="F1" t="s">
        <v>151</v>
      </c>
    </row>
    <row r="2" spans="1:10" x14ac:dyDescent="0.35">
      <c r="E2" s="2" t="s">
        <v>4</v>
      </c>
      <c r="F2" t="s">
        <v>151</v>
      </c>
    </row>
    <row r="3" spans="1:10" x14ac:dyDescent="0.35">
      <c r="A3" s="2" t="s">
        <v>145</v>
      </c>
      <c r="B3" t="s">
        <v>149</v>
      </c>
    </row>
    <row r="4" spans="1:10" x14ac:dyDescent="0.35">
      <c r="A4" s="3" t="s">
        <v>11</v>
      </c>
      <c r="B4" s="4">
        <v>5924478</v>
      </c>
      <c r="E4" s="2" t="s">
        <v>149</v>
      </c>
      <c r="F4" s="2" t="s">
        <v>150</v>
      </c>
    </row>
    <row r="5" spans="1:10" x14ac:dyDescent="0.35">
      <c r="A5" s="3" t="s">
        <v>39</v>
      </c>
      <c r="B5" s="4">
        <v>406050</v>
      </c>
      <c r="E5" s="2" t="s">
        <v>145</v>
      </c>
      <c r="F5" t="s">
        <v>11</v>
      </c>
      <c r="G5" t="s">
        <v>39</v>
      </c>
      <c r="H5" t="s">
        <v>19</v>
      </c>
      <c r="I5" t="s">
        <v>29</v>
      </c>
      <c r="J5" t="s">
        <v>146</v>
      </c>
    </row>
    <row r="6" spans="1:10" x14ac:dyDescent="0.35">
      <c r="A6" s="3" t="s">
        <v>19</v>
      </c>
      <c r="B6" s="4">
        <v>961840</v>
      </c>
      <c r="E6" s="3" t="s">
        <v>44</v>
      </c>
      <c r="F6" s="4">
        <v>1381950</v>
      </c>
      <c r="G6" s="4">
        <v>73200</v>
      </c>
      <c r="H6" s="4">
        <v>443000</v>
      </c>
      <c r="I6" s="4">
        <v>428130</v>
      </c>
      <c r="J6" s="4">
        <v>2326280</v>
      </c>
    </row>
    <row r="7" spans="1:10" x14ac:dyDescent="0.35">
      <c r="A7" s="3" t="s">
        <v>29</v>
      </c>
      <c r="B7" s="4">
        <v>1292100</v>
      </c>
      <c r="E7" s="3" t="s">
        <v>100</v>
      </c>
      <c r="F7" s="4">
        <v>1712400</v>
      </c>
      <c r="G7" s="4">
        <v>80090</v>
      </c>
      <c r="H7" s="4">
        <v>149460</v>
      </c>
      <c r="I7" s="4">
        <v>260970</v>
      </c>
      <c r="J7" s="4">
        <v>2202920</v>
      </c>
    </row>
    <row r="8" spans="1:10" x14ac:dyDescent="0.35">
      <c r="A8" s="3" t="s">
        <v>146</v>
      </c>
      <c r="B8" s="4">
        <v>8584468</v>
      </c>
      <c r="E8" s="3" t="s">
        <v>13</v>
      </c>
      <c r="F8" s="4">
        <v>1747040</v>
      </c>
      <c r="G8" s="4">
        <v>154420</v>
      </c>
      <c r="H8" s="4">
        <v>209520</v>
      </c>
      <c r="I8" s="4">
        <v>470940</v>
      </c>
      <c r="J8" s="4">
        <v>2581920</v>
      </c>
    </row>
    <row r="9" spans="1:10" x14ac:dyDescent="0.35">
      <c r="E9" s="3" t="s">
        <v>72</v>
      </c>
      <c r="F9" s="4">
        <v>1083088</v>
      </c>
      <c r="G9" s="4">
        <v>98340</v>
      </c>
      <c r="H9" s="4">
        <v>159860</v>
      </c>
      <c r="I9" s="4">
        <v>132060</v>
      </c>
      <c r="J9" s="4">
        <v>1473348</v>
      </c>
    </row>
    <row r="10" spans="1:10" x14ac:dyDescent="0.35">
      <c r="E10" s="3" t="s">
        <v>146</v>
      </c>
      <c r="F10" s="4">
        <v>5924478</v>
      </c>
      <c r="G10" s="4">
        <v>406050</v>
      </c>
      <c r="H10" s="4">
        <v>961840</v>
      </c>
      <c r="I10" s="4">
        <v>1292100</v>
      </c>
      <c r="J10" s="4">
        <v>8584468</v>
      </c>
    </row>
    <row r="36" spans="2:4" x14ac:dyDescent="0.35">
      <c r="B36" s="2" t="s">
        <v>145</v>
      </c>
      <c r="C36" t="s">
        <v>149</v>
      </c>
      <c r="D36" t="s">
        <v>152</v>
      </c>
    </row>
    <row r="37" spans="2:4" x14ac:dyDescent="0.35">
      <c r="B37" s="3" t="s">
        <v>32</v>
      </c>
      <c r="C37" s="4">
        <v>226800</v>
      </c>
      <c r="D37" s="4">
        <v>226800</v>
      </c>
    </row>
    <row r="38" spans="2:4" x14ac:dyDescent="0.35">
      <c r="B38" s="3" t="s">
        <v>134</v>
      </c>
      <c r="C38" s="4">
        <v>69700</v>
      </c>
      <c r="D38" s="4">
        <v>69700</v>
      </c>
    </row>
    <row r="39" spans="2:4" x14ac:dyDescent="0.35">
      <c r="B39" s="3" t="s">
        <v>41</v>
      </c>
      <c r="C39" s="4">
        <v>42840</v>
      </c>
      <c r="D39" s="4">
        <v>42840</v>
      </c>
    </row>
    <row r="40" spans="2:4" x14ac:dyDescent="0.35">
      <c r="B40" s="3" t="s">
        <v>119</v>
      </c>
      <c r="C40" s="4">
        <v>103320</v>
      </c>
      <c r="D40" s="4">
        <v>103320</v>
      </c>
    </row>
    <row r="41" spans="2:4" x14ac:dyDescent="0.35">
      <c r="B41" s="3" t="s">
        <v>83</v>
      </c>
      <c r="C41" s="4">
        <v>74360</v>
      </c>
      <c r="D41" s="4">
        <v>74360</v>
      </c>
    </row>
    <row r="42" spans="2:4" x14ac:dyDescent="0.35">
      <c r="B42" s="3" t="s">
        <v>126</v>
      </c>
      <c r="C42" s="4">
        <v>287040</v>
      </c>
      <c r="D42" s="4">
        <v>287040</v>
      </c>
    </row>
    <row r="43" spans="2:4" x14ac:dyDescent="0.35">
      <c r="B43" s="3" t="s">
        <v>124</v>
      </c>
      <c r="C43" s="4">
        <v>20250</v>
      </c>
      <c r="D43" s="4">
        <v>20250</v>
      </c>
    </row>
    <row r="44" spans="2:4" x14ac:dyDescent="0.35">
      <c r="B44" s="3" t="s">
        <v>86</v>
      </c>
      <c r="C44" s="4">
        <v>45360</v>
      </c>
      <c r="D44" s="4">
        <v>45360</v>
      </c>
    </row>
    <row r="45" spans="2:4" x14ac:dyDescent="0.35">
      <c r="B45" s="3" t="s">
        <v>107</v>
      </c>
      <c r="C45" s="4">
        <v>77220</v>
      </c>
      <c r="D45" s="4">
        <v>77220</v>
      </c>
    </row>
    <row r="46" spans="2:4" x14ac:dyDescent="0.35">
      <c r="B46" s="3" t="s">
        <v>89</v>
      </c>
      <c r="C46" s="4">
        <v>86700</v>
      </c>
      <c r="D46" s="4">
        <v>86700</v>
      </c>
    </row>
    <row r="47" spans="2:4" x14ac:dyDescent="0.35">
      <c r="B47" s="3" t="s">
        <v>140</v>
      </c>
      <c r="C47" s="4">
        <v>25920</v>
      </c>
      <c r="D47" s="4">
        <v>25920</v>
      </c>
    </row>
    <row r="48" spans="2:4" x14ac:dyDescent="0.35">
      <c r="B48" s="3" t="s">
        <v>104</v>
      </c>
      <c r="C48" s="4">
        <v>72240</v>
      </c>
      <c r="D48" s="4">
        <v>72240</v>
      </c>
    </row>
    <row r="49" spans="2:4" x14ac:dyDescent="0.35">
      <c r="B49" s="3" t="s">
        <v>22</v>
      </c>
      <c r="C49" s="4">
        <v>122400</v>
      </c>
      <c r="D49" s="4">
        <v>122400</v>
      </c>
    </row>
    <row r="50" spans="2:4" x14ac:dyDescent="0.35">
      <c r="B50" s="3" t="s">
        <v>138</v>
      </c>
      <c r="C50" s="4">
        <v>39600</v>
      </c>
      <c r="D50" s="4">
        <v>39600</v>
      </c>
    </row>
    <row r="51" spans="2:4" x14ac:dyDescent="0.35">
      <c r="B51" s="3" t="s">
        <v>61</v>
      </c>
      <c r="C51" s="4">
        <v>82000</v>
      </c>
      <c r="D51" s="4">
        <v>82000</v>
      </c>
    </row>
    <row r="52" spans="2:4" x14ac:dyDescent="0.35">
      <c r="B52" s="3" t="s">
        <v>122</v>
      </c>
      <c r="C52" s="4">
        <v>59840</v>
      </c>
      <c r="D52" s="4">
        <v>59840</v>
      </c>
    </row>
    <row r="53" spans="2:4" x14ac:dyDescent="0.35">
      <c r="B53" s="3" t="s">
        <v>110</v>
      </c>
      <c r="C53" s="4">
        <v>46200</v>
      </c>
      <c r="D53" s="4">
        <v>46200</v>
      </c>
    </row>
    <row r="54" spans="2:4" x14ac:dyDescent="0.35">
      <c r="B54" s="3" t="s">
        <v>95</v>
      </c>
      <c r="C54" s="4">
        <v>61440</v>
      </c>
      <c r="D54" s="4">
        <v>61440</v>
      </c>
    </row>
    <row r="55" spans="2:4" x14ac:dyDescent="0.35">
      <c r="B55" s="3" t="s">
        <v>69</v>
      </c>
      <c r="C55" s="4">
        <v>43200</v>
      </c>
      <c r="D55" s="4">
        <v>43200</v>
      </c>
    </row>
    <row r="56" spans="2:4" x14ac:dyDescent="0.35">
      <c r="B56" s="3" t="s">
        <v>74</v>
      </c>
      <c r="C56" s="4">
        <v>32640</v>
      </c>
      <c r="D56" s="4">
        <v>32640</v>
      </c>
    </row>
    <row r="57" spans="2:4" x14ac:dyDescent="0.35">
      <c r="B57" s="3" t="s">
        <v>10</v>
      </c>
      <c r="C57" s="4">
        <v>2758080</v>
      </c>
      <c r="D57" s="4">
        <v>689520</v>
      </c>
    </row>
    <row r="58" spans="2:4" x14ac:dyDescent="0.35">
      <c r="B58" s="3" t="s">
        <v>35</v>
      </c>
      <c r="C58" s="4">
        <v>117040</v>
      </c>
      <c r="D58" s="4">
        <v>117040</v>
      </c>
    </row>
    <row r="59" spans="2:4" x14ac:dyDescent="0.35">
      <c r="B59" s="3" t="s">
        <v>28</v>
      </c>
      <c r="C59" s="4">
        <v>57400</v>
      </c>
      <c r="D59" s="4">
        <v>57400</v>
      </c>
    </row>
    <row r="60" spans="2:4" x14ac:dyDescent="0.35">
      <c r="B60" s="3" t="s">
        <v>128</v>
      </c>
      <c r="C60" s="4">
        <v>221850</v>
      </c>
      <c r="D60" s="4">
        <v>221850</v>
      </c>
    </row>
    <row r="61" spans="2:4" x14ac:dyDescent="0.35">
      <c r="B61" s="3" t="s">
        <v>77</v>
      </c>
      <c r="C61" s="4">
        <v>26240</v>
      </c>
      <c r="D61" s="4">
        <v>26240</v>
      </c>
    </row>
    <row r="62" spans="2:4" x14ac:dyDescent="0.35">
      <c r="B62" s="3" t="s">
        <v>144</v>
      </c>
      <c r="C62" s="4">
        <v>108000</v>
      </c>
      <c r="D62" s="4">
        <v>108000</v>
      </c>
    </row>
    <row r="63" spans="2:4" x14ac:dyDescent="0.35">
      <c r="B63" s="3" t="s">
        <v>18</v>
      </c>
      <c r="C63" s="4">
        <v>87120</v>
      </c>
      <c r="D63" s="4">
        <v>87120</v>
      </c>
    </row>
    <row r="64" spans="2:4" x14ac:dyDescent="0.35">
      <c r="B64" s="3" t="s">
        <v>80</v>
      </c>
      <c r="C64" s="4">
        <v>85500</v>
      </c>
      <c r="D64" s="4">
        <v>85500</v>
      </c>
    </row>
    <row r="65" spans="2:4" x14ac:dyDescent="0.35">
      <c r="B65" s="3" t="s">
        <v>132</v>
      </c>
      <c r="C65" s="4">
        <v>55080</v>
      </c>
      <c r="D65" s="4">
        <v>55080</v>
      </c>
    </row>
    <row r="66" spans="2:4" x14ac:dyDescent="0.35">
      <c r="B66" s="3" t="s">
        <v>25</v>
      </c>
      <c r="C66" s="4">
        <v>114000</v>
      </c>
      <c r="D66" s="4">
        <v>114000</v>
      </c>
    </row>
    <row r="67" spans="2:4" x14ac:dyDescent="0.35">
      <c r="B67" s="3" t="s">
        <v>58</v>
      </c>
      <c r="C67" s="4">
        <v>264330</v>
      </c>
      <c r="D67" s="4">
        <v>264330</v>
      </c>
    </row>
    <row r="68" spans="2:4" x14ac:dyDescent="0.35">
      <c r="B68" s="3" t="s">
        <v>130</v>
      </c>
      <c r="C68" s="4">
        <v>54208</v>
      </c>
      <c r="D68" s="4">
        <v>54208</v>
      </c>
    </row>
    <row r="69" spans="2:4" x14ac:dyDescent="0.35">
      <c r="B69" s="3" t="s">
        <v>97</v>
      </c>
      <c r="C69" s="4">
        <v>36900</v>
      </c>
      <c r="D69" s="4">
        <v>36900</v>
      </c>
    </row>
    <row r="70" spans="2:4" x14ac:dyDescent="0.35">
      <c r="B70" s="3" t="s">
        <v>38</v>
      </c>
      <c r="C70" s="4">
        <v>61600</v>
      </c>
      <c r="D70" s="4">
        <v>61600</v>
      </c>
    </row>
    <row r="71" spans="2:4" x14ac:dyDescent="0.35">
      <c r="B71" s="3" t="s">
        <v>64</v>
      </c>
      <c r="C71" s="4">
        <v>168300</v>
      </c>
      <c r="D71" s="4">
        <v>168300</v>
      </c>
    </row>
    <row r="72" spans="2:4" x14ac:dyDescent="0.35">
      <c r="B72" s="3" t="s">
        <v>15</v>
      </c>
      <c r="C72" s="4">
        <v>1353800</v>
      </c>
      <c r="D72" s="4">
        <v>676900</v>
      </c>
    </row>
    <row r="73" spans="2:4" x14ac:dyDescent="0.35">
      <c r="B73" s="3" t="s">
        <v>142</v>
      </c>
      <c r="C73" s="4">
        <v>49980</v>
      </c>
      <c r="D73" s="4">
        <v>49980</v>
      </c>
    </row>
    <row r="74" spans="2:4" x14ac:dyDescent="0.35">
      <c r="B74" s="3" t="s">
        <v>49</v>
      </c>
      <c r="C74" s="4">
        <v>123200</v>
      </c>
      <c r="D74" s="4">
        <v>123200</v>
      </c>
    </row>
    <row r="75" spans="2:4" x14ac:dyDescent="0.35">
      <c r="B75" s="3" t="s">
        <v>52</v>
      </c>
      <c r="C75" s="4">
        <v>96600</v>
      </c>
      <c r="D75" s="4">
        <v>96600</v>
      </c>
    </row>
    <row r="76" spans="2:4" x14ac:dyDescent="0.35">
      <c r="B76" s="3" t="s">
        <v>46</v>
      </c>
      <c r="C76" s="4">
        <v>345600</v>
      </c>
      <c r="D76" s="4">
        <v>345600</v>
      </c>
    </row>
    <row r="77" spans="2:4" x14ac:dyDescent="0.35">
      <c r="B77" s="3" t="s">
        <v>92</v>
      </c>
      <c r="C77" s="4">
        <v>282720</v>
      </c>
      <c r="D77" s="4">
        <v>282720</v>
      </c>
    </row>
    <row r="78" spans="2:4" x14ac:dyDescent="0.35">
      <c r="B78" s="3" t="s">
        <v>67</v>
      </c>
      <c r="C78" s="4">
        <v>30000</v>
      </c>
      <c r="D78" s="4">
        <v>30000</v>
      </c>
    </row>
    <row r="79" spans="2:4" x14ac:dyDescent="0.35">
      <c r="B79" s="3" t="s">
        <v>116</v>
      </c>
      <c r="C79" s="4">
        <v>71400</v>
      </c>
      <c r="D79" s="4">
        <v>71400</v>
      </c>
    </row>
    <row r="80" spans="2:4" x14ac:dyDescent="0.35">
      <c r="B80" s="3" t="s">
        <v>136</v>
      </c>
      <c r="C80" s="4">
        <v>115200</v>
      </c>
      <c r="D80" s="4">
        <v>115200</v>
      </c>
    </row>
    <row r="81" spans="1:4" x14ac:dyDescent="0.35">
      <c r="B81" s="3" t="s">
        <v>55</v>
      </c>
      <c r="C81" s="4">
        <v>163800</v>
      </c>
      <c r="D81" s="4">
        <v>163800</v>
      </c>
    </row>
    <row r="82" spans="1:4" x14ac:dyDescent="0.35">
      <c r="B82" s="3" t="s">
        <v>113</v>
      </c>
      <c r="C82" s="4">
        <v>117450</v>
      </c>
      <c r="D82" s="4">
        <v>117450</v>
      </c>
    </row>
    <row r="83" spans="1:4" x14ac:dyDescent="0.35">
      <c r="B83" s="3" t="s">
        <v>146</v>
      </c>
      <c r="C83" s="4">
        <v>8584468</v>
      </c>
      <c r="D83" s="4">
        <v>171689.36</v>
      </c>
    </row>
    <row r="88" spans="1:4" x14ac:dyDescent="0.35">
      <c r="A88" s="2" t="s">
        <v>145</v>
      </c>
      <c r="B88" t="s">
        <v>149</v>
      </c>
    </row>
    <row r="89" spans="1:4" x14ac:dyDescent="0.35">
      <c r="A89" s="3" t="s">
        <v>11</v>
      </c>
      <c r="B89" s="4">
        <v>5924478</v>
      </c>
    </row>
    <row r="90" spans="1:4" x14ac:dyDescent="0.35">
      <c r="A90" s="3" t="s">
        <v>39</v>
      </c>
      <c r="B90" s="4">
        <v>406050</v>
      </c>
    </row>
    <row r="91" spans="1:4" x14ac:dyDescent="0.35">
      <c r="A91" s="3" t="s">
        <v>19</v>
      </c>
      <c r="B91" s="4">
        <v>961840</v>
      </c>
    </row>
    <row r="92" spans="1:4" x14ac:dyDescent="0.35">
      <c r="A92" s="3" t="s">
        <v>29</v>
      </c>
      <c r="B92" s="4">
        <v>1292100</v>
      </c>
    </row>
    <row r="93" spans="1:4" x14ac:dyDescent="0.35">
      <c r="A93" s="3" t="s">
        <v>146</v>
      </c>
      <c r="B93" s="4">
        <v>8584468</v>
      </c>
    </row>
  </sheetData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6" sqref="C1:C1048576"/>
    </sheetView>
  </sheetViews>
  <sheetFormatPr defaultRowHeight="14.5" x14ac:dyDescent="0.35"/>
  <cols>
    <col min="1" max="1" width="12.36328125" bestFit="1" customWidth="1"/>
    <col min="2" max="2" width="12" bestFit="1" customWidth="1"/>
  </cols>
  <sheetData>
    <row r="1" spans="1:2" x14ac:dyDescent="0.35">
      <c r="A1" s="2" t="s">
        <v>3</v>
      </c>
      <c r="B1" t="s">
        <v>11</v>
      </c>
    </row>
    <row r="3" spans="1:2" x14ac:dyDescent="0.35">
      <c r="A3" s="2" t="s">
        <v>145</v>
      </c>
      <c r="B3" t="s">
        <v>153</v>
      </c>
    </row>
    <row r="4" spans="1:2" x14ac:dyDescent="0.35">
      <c r="A4" s="3" t="s">
        <v>44</v>
      </c>
      <c r="B4" s="4">
        <v>5</v>
      </c>
    </row>
    <row r="5" spans="1:2" x14ac:dyDescent="0.35">
      <c r="A5" s="3" t="s">
        <v>100</v>
      </c>
      <c r="B5" s="4">
        <v>4</v>
      </c>
    </row>
    <row r="6" spans="1:2" x14ac:dyDescent="0.35">
      <c r="A6" s="3" t="s">
        <v>13</v>
      </c>
      <c r="B6" s="4">
        <v>4</v>
      </c>
    </row>
    <row r="7" spans="1:2" x14ac:dyDescent="0.35">
      <c r="A7" s="3" t="s">
        <v>72</v>
      </c>
      <c r="B7" s="4">
        <v>6</v>
      </c>
    </row>
    <row r="8" spans="1:2" x14ac:dyDescent="0.35">
      <c r="A8" s="3" t="s">
        <v>146</v>
      </c>
      <c r="B8" s="4">
        <v>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D17" sqref="D17"/>
    </sheetView>
  </sheetViews>
  <sheetFormatPr defaultRowHeight="14.5" x14ac:dyDescent="0.35"/>
  <cols>
    <col min="1" max="1" width="10.08984375" bestFit="1" customWidth="1"/>
    <col min="3" max="3" width="16.1796875" bestFit="1" customWidth="1"/>
    <col min="4" max="4" width="15.36328125" bestFit="1" customWidth="1"/>
    <col min="5" max="5" width="11.54296875" bestFit="1" customWidth="1"/>
    <col min="6" max="6" width="11.6328125" bestFit="1" customWidth="1"/>
    <col min="9" max="9" width="20.90625" bestFit="1" customWidth="1"/>
    <col min="10" max="10" width="11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147</v>
      </c>
      <c r="K1" t="s">
        <v>148</v>
      </c>
    </row>
    <row r="2" spans="1:11" x14ac:dyDescent="0.35">
      <c r="A2" s="1">
        <v>45662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</v>
      </c>
      <c r="H2">
        <v>65000</v>
      </c>
      <c r="I2">
        <v>10</v>
      </c>
      <c r="J2">
        <f>H2-H2*I2/100</f>
        <v>58500</v>
      </c>
      <c r="K2">
        <f>J2*G2</f>
        <v>702000</v>
      </c>
    </row>
    <row r="3" spans="1:11" x14ac:dyDescent="0.35">
      <c r="A3" s="1">
        <v>45669</v>
      </c>
      <c r="B3" t="s">
        <v>14</v>
      </c>
      <c r="C3" t="s">
        <v>15</v>
      </c>
      <c r="D3" t="s">
        <v>11</v>
      </c>
      <c r="E3" t="s">
        <v>16</v>
      </c>
      <c r="F3" t="s">
        <v>13</v>
      </c>
      <c r="G3">
        <v>25</v>
      </c>
      <c r="H3">
        <v>28000</v>
      </c>
      <c r="I3">
        <v>8</v>
      </c>
      <c r="J3">
        <f t="shared" ref="J3:J51" si="0">H3-H3*I3/100</f>
        <v>25760</v>
      </c>
      <c r="K3">
        <f t="shared" ref="K3:K51" si="1">J3*G3</f>
        <v>644000</v>
      </c>
    </row>
    <row r="4" spans="1:11" x14ac:dyDescent="0.35">
      <c r="A4" s="1">
        <v>45676</v>
      </c>
      <c r="B4" t="s">
        <v>17</v>
      </c>
      <c r="C4" t="s">
        <v>18</v>
      </c>
      <c r="D4" t="s">
        <v>19</v>
      </c>
      <c r="E4" t="s">
        <v>20</v>
      </c>
      <c r="F4" t="s">
        <v>13</v>
      </c>
      <c r="G4">
        <v>18</v>
      </c>
      <c r="H4">
        <v>5500</v>
      </c>
      <c r="I4">
        <v>12</v>
      </c>
      <c r="J4">
        <f t="shared" si="0"/>
        <v>4840</v>
      </c>
      <c r="K4">
        <f t="shared" si="1"/>
        <v>87120</v>
      </c>
    </row>
    <row r="5" spans="1:11" x14ac:dyDescent="0.35">
      <c r="A5" s="1">
        <v>45683</v>
      </c>
      <c r="B5" t="s">
        <v>21</v>
      </c>
      <c r="C5" t="s">
        <v>22</v>
      </c>
      <c r="D5" t="s">
        <v>19</v>
      </c>
      <c r="E5" t="s">
        <v>23</v>
      </c>
      <c r="F5" t="s">
        <v>13</v>
      </c>
      <c r="G5">
        <v>8</v>
      </c>
      <c r="H5">
        <v>18000</v>
      </c>
      <c r="I5">
        <v>15</v>
      </c>
      <c r="J5">
        <f t="shared" si="0"/>
        <v>15300</v>
      </c>
      <c r="K5">
        <f t="shared" si="1"/>
        <v>122400</v>
      </c>
    </row>
    <row r="6" spans="1:11" x14ac:dyDescent="0.35">
      <c r="A6" s="1">
        <v>45690</v>
      </c>
      <c r="B6" t="s">
        <v>24</v>
      </c>
      <c r="C6" t="s">
        <v>25</v>
      </c>
      <c r="D6" t="s">
        <v>11</v>
      </c>
      <c r="E6" t="s">
        <v>26</v>
      </c>
      <c r="F6" t="s">
        <v>13</v>
      </c>
      <c r="G6">
        <v>10</v>
      </c>
      <c r="H6">
        <v>12000</v>
      </c>
      <c r="I6">
        <v>5</v>
      </c>
      <c r="J6">
        <f t="shared" si="0"/>
        <v>11400</v>
      </c>
      <c r="K6">
        <f t="shared" si="1"/>
        <v>114000</v>
      </c>
    </row>
    <row r="7" spans="1:11" x14ac:dyDescent="0.35">
      <c r="A7" s="1">
        <v>45697</v>
      </c>
      <c r="B7" t="s">
        <v>27</v>
      </c>
      <c r="C7" t="s">
        <v>28</v>
      </c>
      <c r="D7" t="s">
        <v>29</v>
      </c>
      <c r="E7" t="s">
        <v>30</v>
      </c>
      <c r="F7" t="s">
        <v>13</v>
      </c>
      <c r="G7">
        <v>20</v>
      </c>
      <c r="H7">
        <v>3500</v>
      </c>
      <c r="I7">
        <v>18</v>
      </c>
      <c r="J7">
        <f t="shared" si="0"/>
        <v>2870</v>
      </c>
      <c r="K7">
        <f t="shared" si="1"/>
        <v>57400</v>
      </c>
    </row>
    <row r="8" spans="1:11" x14ac:dyDescent="0.35">
      <c r="A8" s="1">
        <v>45704</v>
      </c>
      <c r="B8" t="s">
        <v>31</v>
      </c>
      <c r="C8" t="s">
        <v>32</v>
      </c>
      <c r="D8" t="s">
        <v>29</v>
      </c>
      <c r="E8" t="s">
        <v>33</v>
      </c>
      <c r="F8" t="s">
        <v>13</v>
      </c>
      <c r="G8">
        <v>6</v>
      </c>
      <c r="H8">
        <v>42000</v>
      </c>
      <c r="I8">
        <v>10</v>
      </c>
      <c r="J8">
        <f t="shared" si="0"/>
        <v>37800</v>
      </c>
      <c r="K8">
        <f t="shared" si="1"/>
        <v>226800</v>
      </c>
    </row>
    <row r="9" spans="1:11" x14ac:dyDescent="0.35">
      <c r="A9" s="1">
        <v>45711</v>
      </c>
      <c r="B9" t="s">
        <v>34</v>
      </c>
      <c r="C9" t="s">
        <v>35</v>
      </c>
      <c r="D9" t="s">
        <v>29</v>
      </c>
      <c r="E9" t="s">
        <v>36</v>
      </c>
      <c r="F9" t="s">
        <v>13</v>
      </c>
      <c r="G9">
        <v>14</v>
      </c>
      <c r="H9">
        <v>9500</v>
      </c>
      <c r="I9">
        <v>12</v>
      </c>
      <c r="J9">
        <f t="shared" si="0"/>
        <v>8360</v>
      </c>
      <c r="K9">
        <f t="shared" si="1"/>
        <v>117040</v>
      </c>
    </row>
    <row r="10" spans="1:11" x14ac:dyDescent="0.35">
      <c r="A10" s="1">
        <v>45718</v>
      </c>
      <c r="B10" t="s">
        <v>37</v>
      </c>
      <c r="C10" t="s">
        <v>38</v>
      </c>
      <c r="D10" t="s">
        <v>39</v>
      </c>
      <c r="E10" t="s">
        <v>12</v>
      </c>
      <c r="F10" t="s">
        <v>13</v>
      </c>
      <c r="G10">
        <v>35</v>
      </c>
      <c r="H10">
        <v>2200</v>
      </c>
      <c r="I10">
        <v>20</v>
      </c>
      <c r="J10">
        <f t="shared" si="0"/>
        <v>1760</v>
      </c>
      <c r="K10">
        <f t="shared" si="1"/>
        <v>61600</v>
      </c>
    </row>
    <row r="11" spans="1:11" x14ac:dyDescent="0.35">
      <c r="A11" s="1">
        <v>45725</v>
      </c>
      <c r="B11" t="s">
        <v>40</v>
      </c>
      <c r="C11" t="s">
        <v>41</v>
      </c>
      <c r="D11" t="s">
        <v>39</v>
      </c>
      <c r="E11" t="s">
        <v>16</v>
      </c>
      <c r="F11" t="s">
        <v>13</v>
      </c>
      <c r="G11">
        <v>28</v>
      </c>
      <c r="H11">
        <v>1800</v>
      </c>
      <c r="I11">
        <v>15</v>
      </c>
      <c r="J11">
        <f t="shared" si="0"/>
        <v>1530</v>
      </c>
      <c r="K11">
        <f t="shared" si="1"/>
        <v>42840</v>
      </c>
    </row>
    <row r="12" spans="1:11" x14ac:dyDescent="0.35">
      <c r="A12" s="1">
        <v>45732</v>
      </c>
      <c r="B12" t="s">
        <v>42</v>
      </c>
      <c r="C12" t="s">
        <v>10</v>
      </c>
      <c r="D12" t="s">
        <v>11</v>
      </c>
      <c r="E12" t="s">
        <v>43</v>
      </c>
      <c r="F12" t="s">
        <v>44</v>
      </c>
      <c r="G12">
        <v>10</v>
      </c>
      <c r="H12">
        <v>62000</v>
      </c>
      <c r="I12">
        <v>9</v>
      </c>
      <c r="J12">
        <f t="shared" si="0"/>
        <v>56420</v>
      </c>
      <c r="K12">
        <f t="shared" si="1"/>
        <v>564200</v>
      </c>
    </row>
    <row r="13" spans="1:11" x14ac:dyDescent="0.35">
      <c r="A13" s="1">
        <v>45739</v>
      </c>
      <c r="B13" t="s">
        <v>45</v>
      </c>
      <c r="C13" t="s">
        <v>46</v>
      </c>
      <c r="D13" t="s">
        <v>11</v>
      </c>
      <c r="E13" t="s">
        <v>47</v>
      </c>
      <c r="F13" t="s">
        <v>44</v>
      </c>
      <c r="G13">
        <v>16</v>
      </c>
      <c r="H13">
        <v>24000</v>
      </c>
      <c r="I13">
        <v>10</v>
      </c>
      <c r="J13">
        <f t="shared" si="0"/>
        <v>21600</v>
      </c>
      <c r="K13">
        <f t="shared" si="1"/>
        <v>345600</v>
      </c>
    </row>
    <row r="14" spans="1:11" x14ac:dyDescent="0.35">
      <c r="A14" s="1">
        <v>45746</v>
      </c>
      <c r="B14" t="s">
        <v>48</v>
      </c>
      <c r="C14" t="s">
        <v>49</v>
      </c>
      <c r="D14" t="s">
        <v>19</v>
      </c>
      <c r="E14" t="s">
        <v>50</v>
      </c>
      <c r="F14" t="s">
        <v>44</v>
      </c>
      <c r="G14">
        <v>5</v>
      </c>
      <c r="H14">
        <v>28000</v>
      </c>
      <c r="I14">
        <v>12</v>
      </c>
      <c r="J14">
        <f t="shared" si="0"/>
        <v>24640</v>
      </c>
      <c r="K14">
        <f t="shared" si="1"/>
        <v>123200</v>
      </c>
    </row>
    <row r="15" spans="1:11" x14ac:dyDescent="0.35">
      <c r="A15" s="1">
        <v>45753</v>
      </c>
      <c r="B15" t="s">
        <v>51</v>
      </c>
      <c r="C15" t="s">
        <v>52</v>
      </c>
      <c r="D15" t="s">
        <v>19</v>
      </c>
      <c r="E15" t="s">
        <v>53</v>
      </c>
      <c r="F15" t="s">
        <v>44</v>
      </c>
      <c r="G15">
        <v>15</v>
      </c>
      <c r="H15">
        <v>7000</v>
      </c>
      <c r="I15">
        <v>8</v>
      </c>
      <c r="J15">
        <f t="shared" si="0"/>
        <v>6440</v>
      </c>
      <c r="K15">
        <f t="shared" si="1"/>
        <v>96600</v>
      </c>
    </row>
    <row r="16" spans="1:11" x14ac:dyDescent="0.35">
      <c r="A16" s="1">
        <v>45760</v>
      </c>
      <c r="B16" t="s">
        <v>54</v>
      </c>
      <c r="C16" t="s">
        <v>55</v>
      </c>
      <c r="D16" t="s">
        <v>29</v>
      </c>
      <c r="E16" t="s">
        <v>56</v>
      </c>
      <c r="F16" t="s">
        <v>44</v>
      </c>
      <c r="G16">
        <v>7</v>
      </c>
      <c r="H16">
        <v>26000</v>
      </c>
      <c r="I16">
        <v>10</v>
      </c>
      <c r="J16">
        <f t="shared" si="0"/>
        <v>23400</v>
      </c>
      <c r="K16">
        <f t="shared" si="1"/>
        <v>163800</v>
      </c>
    </row>
    <row r="17" spans="1:11" x14ac:dyDescent="0.35">
      <c r="A17" s="1">
        <v>45767</v>
      </c>
      <c r="B17" t="s">
        <v>57</v>
      </c>
      <c r="C17" t="s">
        <v>58</v>
      </c>
      <c r="D17" t="s">
        <v>29</v>
      </c>
      <c r="E17" t="s">
        <v>59</v>
      </c>
      <c r="F17" t="s">
        <v>44</v>
      </c>
      <c r="G17">
        <v>9</v>
      </c>
      <c r="H17">
        <v>33000</v>
      </c>
      <c r="I17">
        <v>11</v>
      </c>
      <c r="J17">
        <f t="shared" si="0"/>
        <v>29370</v>
      </c>
      <c r="K17">
        <f t="shared" si="1"/>
        <v>264330</v>
      </c>
    </row>
    <row r="18" spans="1:11" x14ac:dyDescent="0.35">
      <c r="A18" s="1">
        <v>45774</v>
      </c>
      <c r="B18" t="s">
        <v>60</v>
      </c>
      <c r="C18" t="s">
        <v>61</v>
      </c>
      <c r="D18" t="s">
        <v>11</v>
      </c>
      <c r="E18" t="s">
        <v>62</v>
      </c>
      <c r="F18" t="s">
        <v>44</v>
      </c>
      <c r="G18">
        <v>40</v>
      </c>
      <c r="H18">
        <v>2500</v>
      </c>
      <c r="I18">
        <v>18</v>
      </c>
      <c r="J18">
        <f t="shared" si="0"/>
        <v>2050</v>
      </c>
      <c r="K18">
        <f t="shared" si="1"/>
        <v>82000</v>
      </c>
    </row>
    <row r="19" spans="1:11" x14ac:dyDescent="0.35">
      <c r="A19" s="1">
        <v>45781</v>
      </c>
      <c r="B19" t="s">
        <v>63</v>
      </c>
      <c r="C19" t="s">
        <v>64</v>
      </c>
      <c r="D19" t="s">
        <v>11</v>
      </c>
      <c r="E19" t="s">
        <v>65</v>
      </c>
      <c r="F19" t="s">
        <v>44</v>
      </c>
      <c r="G19">
        <v>22</v>
      </c>
      <c r="H19">
        <v>9000</v>
      </c>
      <c r="I19">
        <v>15</v>
      </c>
      <c r="J19">
        <f t="shared" si="0"/>
        <v>7650</v>
      </c>
      <c r="K19">
        <f t="shared" si="1"/>
        <v>168300</v>
      </c>
    </row>
    <row r="20" spans="1:11" x14ac:dyDescent="0.35">
      <c r="A20" s="1">
        <v>45788</v>
      </c>
      <c r="B20" t="s">
        <v>66</v>
      </c>
      <c r="C20" t="s">
        <v>67</v>
      </c>
      <c r="D20" t="s">
        <v>39</v>
      </c>
      <c r="E20" t="s">
        <v>43</v>
      </c>
      <c r="F20" t="s">
        <v>44</v>
      </c>
      <c r="G20">
        <v>50</v>
      </c>
      <c r="H20">
        <v>800</v>
      </c>
      <c r="I20">
        <v>25</v>
      </c>
      <c r="J20">
        <f t="shared" si="0"/>
        <v>600</v>
      </c>
      <c r="K20">
        <f t="shared" si="1"/>
        <v>30000</v>
      </c>
    </row>
    <row r="21" spans="1:11" x14ac:dyDescent="0.35">
      <c r="A21" s="1">
        <v>45795</v>
      </c>
      <c r="B21" t="s">
        <v>68</v>
      </c>
      <c r="C21" t="s">
        <v>69</v>
      </c>
      <c r="D21" t="s">
        <v>39</v>
      </c>
      <c r="E21" t="s">
        <v>47</v>
      </c>
      <c r="F21" t="s">
        <v>44</v>
      </c>
      <c r="G21">
        <v>30</v>
      </c>
      <c r="H21">
        <v>1800</v>
      </c>
      <c r="I21">
        <v>20</v>
      </c>
      <c r="J21">
        <f t="shared" si="0"/>
        <v>1440</v>
      </c>
      <c r="K21">
        <f t="shared" si="1"/>
        <v>43200</v>
      </c>
    </row>
    <row r="22" spans="1:11" x14ac:dyDescent="0.35">
      <c r="A22" s="1">
        <v>45802</v>
      </c>
      <c r="B22" t="s">
        <v>70</v>
      </c>
      <c r="C22" t="s">
        <v>10</v>
      </c>
      <c r="D22" t="s">
        <v>11</v>
      </c>
      <c r="E22" t="s">
        <v>71</v>
      </c>
      <c r="F22" t="s">
        <v>72</v>
      </c>
      <c r="G22">
        <v>11</v>
      </c>
      <c r="H22">
        <v>64000</v>
      </c>
      <c r="I22">
        <v>8</v>
      </c>
      <c r="J22">
        <f t="shared" si="0"/>
        <v>58880</v>
      </c>
      <c r="K22">
        <f t="shared" si="1"/>
        <v>647680</v>
      </c>
    </row>
    <row r="23" spans="1:11" x14ac:dyDescent="0.35">
      <c r="A23" s="1">
        <v>45809</v>
      </c>
      <c r="B23" t="s">
        <v>73</v>
      </c>
      <c r="C23" t="s">
        <v>74</v>
      </c>
      <c r="D23" t="s">
        <v>11</v>
      </c>
      <c r="E23" t="s">
        <v>75</v>
      </c>
      <c r="F23" t="s">
        <v>72</v>
      </c>
      <c r="G23">
        <v>32</v>
      </c>
      <c r="H23">
        <v>1200</v>
      </c>
      <c r="I23">
        <v>15</v>
      </c>
      <c r="J23">
        <f t="shared" si="0"/>
        <v>1020</v>
      </c>
      <c r="K23">
        <f t="shared" si="1"/>
        <v>32640</v>
      </c>
    </row>
    <row r="24" spans="1:11" x14ac:dyDescent="0.35">
      <c r="A24" s="1">
        <v>45816</v>
      </c>
      <c r="B24" t="s">
        <v>76</v>
      </c>
      <c r="C24" t="s">
        <v>77</v>
      </c>
      <c r="D24" t="s">
        <v>11</v>
      </c>
      <c r="E24" t="s">
        <v>78</v>
      </c>
      <c r="F24" t="s">
        <v>72</v>
      </c>
      <c r="G24">
        <v>40</v>
      </c>
      <c r="H24">
        <v>800</v>
      </c>
      <c r="I24">
        <v>18</v>
      </c>
      <c r="J24">
        <f t="shared" si="0"/>
        <v>656</v>
      </c>
      <c r="K24">
        <f t="shared" si="1"/>
        <v>26240</v>
      </c>
    </row>
    <row r="25" spans="1:11" x14ac:dyDescent="0.35">
      <c r="A25" s="1">
        <v>45823</v>
      </c>
      <c r="B25" t="s">
        <v>79</v>
      </c>
      <c r="C25" t="s">
        <v>80</v>
      </c>
      <c r="D25" t="s">
        <v>19</v>
      </c>
      <c r="E25" t="s">
        <v>81</v>
      </c>
      <c r="F25" t="s">
        <v>72</v>
      </c>
      <c r="G25">
        <v>10</v>
      </c>
      <c r="H25">
        <v>9500</v>
      </c>
      <c r="I25">
        <v>10</v>
      </c>
      <c r="J25">
        <f t="shared" si="0"/>
        <v>8550</v>
      </c>
      <c r="K25">
        <f t="shared" si="1"/>
        <v>85500</v>
      </c>
    </row>
    <row r="26" spans="1:11" x14ac:dyDescent="0.35">
      <c r="A26" s="1">
        <v>45830</v>
      </c>
      <c r="B26" t="s">
        <v>82</v>
      </c>
      <c r="C26" t="s">
        <v>83</v>
      </c>
      <c r="D26" t="s">
        <v>19</v>
      </c>
      <c r="E26" t="s">
        <v>84</v>
      </c>
      <c r="F26" t="s">
        <v>72</v>
      </c>
      <c r="G26">
        <v>13</v>
      </c>
      <c r="H26">
        <v>6500</v>
      </c>
      <c r="I26">
        <v>12</v>
      </c>
      <c r="J26">
        <f t="shared" si="0"/>
        <v>5720</v>
      </c>
      <c r="K26">
        <f t="shared" si="1"/>
        <v>74360</v>
      </c>
    </row>
    <row r="27" spans="1:11" x14ac:dyDescent="0.35">
      <c r="A27" s="1">
        <v>45837</v>
      </c>
      <c r="B27" t="s">
        <v>85</v>
      </c>
      <c r="C27" t="s">
        <v>86</v>
      </c>
      <c r="D27" t="s">
        <v>29</v>
      </c>
      <c r="E27" t="s">
        <v>87</v>
      </c>
      <c r="F27" t="s">
        <v>72</v>
      </c>
      <c r="G27">
        <v>18</v>
      </c>
      <c r="H27">
        <v>2800</v>
      </c>
      <c r="I27">
        <v>10</v>
      </c>
      <c r="J27">
        <f t="shared" si="0"/>
        <v>2520</v>
      </c>
      <c r="K27">
        <f t="shared" si="1"/>
        <v>45360</v>
      </c>
    </row>
    <row r="28" spans="1:11" x14ac:dyDescent="0.35">
      <c r="A28" s="1">
        <v>45844</v>
      </c>
      <c r="B28" t="s">
        <v>88</v>
      </c>
      <c r="C28" t="s">
        <v>89</v>
      </c>
      <c r="D28" t="s">
        <v>29</v>
      </c>
      <c r="E28" t="s">
        <v>90</v>
      </c>
      <c r="F28" t="s">
        <v>72</v>
      </c>
      <c r="G28">
        <v>12</v>
      </c>
      <c r="H28">
        <v>8500</v>
      </c>
      <c r="I28">
        <v>15</v>
      </c>
      <c r="J28">
        <f t="shared" si="0"/>
        <v>7225</v>
      </c>
      <c r="K28">
        <f t="shared" si="1"/>
        <v>86700</v>
      </c>
    </row>
    <row r="29" spans="1:11" x14ac:dyDescent="0.35">
      <c r="A29" s="1">
        <v>45851</v>
      </c>
      <c r="B29" t="s">
        <v>91</v>
      </c>
      <c r="C29" t="s">
        <v>92</v>
      </c>
      <c r="D29" t="s">
        <v>11</v>
      </c>
      <c r="E29" t="s">
        <v>93</v>
      </c>
      <c r="F29" t="s">
        <v>72</v>
      </c>
      <c r="G29">
        <v>8</v>
      </c>
      <c r="H29">
        <v>38000</v>
      </c>
      <c r="I29">
        <v>7</v>
      </c>
      <c r="J29">
        <f t="shared" si="0"/>
        <v>35340</v>
      </c>
      <c r="K29">
        <f t="shared" si="1"/>
        <v>282720</v>
      </c>
    </row>
    <row r="30" spans="1:11" x14ac:dyDescent="0.35">
      <c r="A30" s="1">
        <v>45858</v>
      </c>
      <c r="B30" t="s">
        <v>94</v>
      </c>
      <c r="C30" t="s">
        <v>95</v>
      </c>
      <c r="D30" t="s">
        <v>39</v>
      </c>
      <c r="E30" t="s">
        <v>71</v>
      </c>
      <c r="F30" t="s">
        <v>72</v>
      </c>
      <c r="G30">
        <v>24</v>
      </c>
      <c r="H30">
        <v>3200</v>
      </c>
      <c r="I30">
        <v>20</v>
      </c>
      <c r="J30">
        <f t="shared" si="0"/>
        <v>2560</v>
      </c>
      <c r="K30">
        <f t="shared" si="1"/>
        <v>61440</v>
      </c>
    </row>
    <row r="31" spans="1:11" x14ac:dyDescent="0.35">
      <c r="A31" s="1">
        <v>45865</v>
      </c>
      <c r="B31" t="s">
        <v>96</v>
      </c>
      <c r="C31" t="s">
        <v>97</v>
      </c>
      <c r="D31" t="s">
        <v>39</v>
      </c>
      <c r="E31" t="s">
        <v>78</v>
      </c>
      <c r="F31" t="s">
        <v>72</v>
      </c>
      <c r="G31">
        <v>30</v>
      </c>
      <c r="H31">
        <v>1500</v>
      </c>
      <c r="I31">
        <v>18</v>
      </c>
      <c r="J31">
        <f t="shared" si="0"/>
        <v>1230</v>
      </c>
      <c r="K31">
        <f t="shared" si="1"/>
        <v>36900</v>
      </c>
    </row>
    <row r="32" spans="1:11" x14ac:dyDescent="0.35">
      <c r="A32" s="1">
        <v>45872</v>
      </c>
      <c r="B32" t="s">
        <v>98</v>
      </c>
      <c r="C32" t="s">
        <v>10</v>
      </c>
      <c r="D32" t="s">
        <v>11</v>
      </c>
      <c r="E32" t="s">
        <v>99</v>
      </c>
      <c r="F32" t="s">
        <v>100</v>
      </c>
      <c r="G32">
        <v>14</v>
      </c>
      <c r="H32">
        <v>67000</v>
      </c>
      <c r="I32">
        <v>10</v>
      </c>
      <c r="J32">
        <f t="shared" si="0"/>
        <v>60300</v>
      </c>
      <c r="K32">
        <f t="shared" si="1"/>
        <v>844200</v>
      </c>
    </row>
    <row r="33" spans="1:11" x14ac:dyDescent="0.35">
      <c r="A33" s="1">
        <v>45879</v>
      </c>
      <c r="B33" t="s">
        <v>101</v>
      </c>
      <c r="C33" t="s">
        <v>15</v>
      </c>
      <c r="D33" t="s">
        <v>11</v>
      </c>
      <c r="E33" t="s">
        <v>102</v>
      </c>
      <c r="F33" t="s">
        <v>100</v>
      </c>
      <c r="G33">
        <v>26</v>
      </c>
      <c r="H33">
        <v>30000</v>
      </c>
      <c r="I33">
        <v>9</v>
      </c>
      <c r="J33">
        <f t="shared" si="0"/>
        <v>27300</v>
      </c>
      <c r="K33">
        <f t="shared" si="1"/>
        <v>709800</v>
      </c>
    </row>
    <row r="34" spans="1:11" x14ac:dyDescent="0.35">
      <c r="A34" s="1">
        <v>45886</v>
      </c>
      <c r="B34" t="s">
        <v>103</v>
      </c>
      <c r="C34" t="s">
        <v>104</v>
      </c>
      <c r="D34" t="s">
        <v>19</v>
      </c>
      <c r="E34" t="s">
        <v>105</v>
      </c>
      <c r="F34" t="s">
        <v>100</v>
      </c>
      <c r="G34">
        <v>20</v>
      </c>
      <c r="H34">
        <v>4200</v>
      </c>
      <c r="I34">
        <v>14</v>
      </c>
      <c r="J34">
        <f t="shared" si="0"/>
        <v>3612</v>
      </c>
      <c r="K34">
        <f t="shared" si="1"/>
        <v>72240</v>
      </c>
    </row>
    <row r="35" spans="1:11" x14ac:dyDescent="0.35">
      <c r="A35" s="1">
        <v>45893</v>
      </c>
      <c r="B35" t="s">
        <v>106</v>
      </c>
      <c r="C35" t="s">
        <v>107</v>
      </c>
      <c r="D35" t="s">
        <v>19</v>
      </c>
      <c r="E35" t="s">
        <v>108</v>
      </c>
      <c r="F35" t="s">
        <v>100</v>
      </c>
      <c r="G35">
        <v>11</v>
      </c>
      <c r="H35">
        <v>7800</v>
      </c>
      <c r="I35">
        <v>10</v>
      </c>
      <c r="J35">
        <f t="shared" si="0"/>
        <v>7020</v>
      </c>
      <c r="K35">
        <f t="shared" si="1"/>
        <v>77220</v>
      </c>
    </row>
    <row r="36" spans="1:11" x14ac:dyDescent="0.35">
      <c r="A36" s="1">
        <v>45900</v>
      </c>
      <c r="B36" t="s">
        <v>109</v>
      </c>
      <c r="C36" t="s">
        <v>110</v>
      </c>
      <c r="D36" t="s">
        <v>29</v>
      </c>
      <c r="E36" t="s">
        <v>111</v>
      </c>
      <c r="F36" t="s">
        <v>100</v>
      </c>
      <c r="G36">
        <v>15</v>
      </c>
      <c r="H36">
        <v>3500</v>
      </c>
      <c r="I36">
        <v>12</v>
      </c>
      <c r="J36">
        <f t="shared" si="0"/>
        <v>3080</v>
      </c>
      <c r="K36">
        <f t="shared" si="1"/>
        <v>46200</v>
      </c>
    </row>
    <row r="37" spans="1:11" x14ac:dyDescent="0.35">
      <c r="A37" s="1">
        <v>45907</v>
      </c>
      <c r="B37" t="s">
        <v>112</v>
      </c>
      <c r="C37" t="s">
        <v>113</v>
      </c>
      <c r="D37" t="s">
        <v>29</v>
      </c>
      <c r="E37" t="s">
        <v>114</v>
      </c>
      <c r="F37" t="s">
        <v>100</v>
      </c>
      <c r="G37">
        <v>9</v>
      </c>
      <c r="H37">
        <v>14500</v>
      </c>
      <c r="I37">
        <v>10</v>
      </c>
      <c r="J37">
        <f t="shared" si="0"/>
        <v>13050</v>
      </c>
      <c r="K37">
        <f t="shared" si="1"/>
        <v>117450</v>
      </c>
    </row>
    <row r="38" spans="1:11" x14ac:dyDescent="0.35">
      <c r="A38" s="1">
        <v>45914</v>
      </c>
      <c r="B38" t="s">
        <v>115</v>
      </c>
      <c r="C38" t="s">
        <v>116</v>
      </c>
      <c r="D38" t="s">
        <v>29</v>
      </c>
      <c r="E38" t="s">
        <v>117</v>
      </c>
      <c r="F38" t="s">
        <v>100</v>
      </c>
      <c r="G38">
        <v>7</v>
      </c>
      <c r="H38">
        <v>12000</v>
      </c>
      <c r="I38">
        <v>15</v>
      </c>
      <c r="J38">
        <f t="shared" si="0"/>
        <v>10200</v>
      </c>
      <c r="K38">
        <f t="shared" si="1"/>
        <v>71400</v>
      </c>
    </row>
    <row r="39" spans="1:11" x14ac:dyDescent="0.35">
      <c r="A39" s="1">
        <v>45921</v>
      </c>
      <c r="B39" t="s">
        <v>118</v>
      </c>
      <c r="C39" t="s">
        <v>119</v>
      </c>
      <c r="D39" t="s">
        <v>11</v>
      </c>
      <c r="E39" t="s">
        <v>120</v>
      </c>
      <c r="F39" t="s">
        <v>100</v>
      </c>
      <c r="G39">
        <v>28</v>
      </c>
      <c r="H39">
        <v>4500</v>
      </c>
      <c r="I39">
        <v>18</v>
      </c>
      <c r="J39">
        <f t="shared" si="0"/>
        <v>3690</v>
      </c>
      <c r="K39">
        <f t="shared" si="1"/>
        <v>103320</v>
      </c>
    </row>
    <row r="40" spans="1:11" x14ac:dyDescent="0.35">
      <c r="A40" s="1">
        <v>45928</v>
      </c>
      <c r="B40" t="s">
        <v>121</v>
      </c>
      <c r="C40" t="s">
        <v>122</v>
      </c>
      <c r="D40" t="s">
        <v>39</v>
      </c>
      <c r="E40" t="s">
        <v>99</v>
      </c>
      <c r="F40" t="s">
        <v>100</v>
      </c>
      <c r="G40">
        <v>34</v>
      </c>
      <c r="H40">
        <v>2200</v>
      </c>
      <c r="I40">
        <v>20</v>
      </c>
      <c r="J40">
        <f t="shared" si="0"/>
        <v>1760</v>
      </c>
      <c r="K40">
        <f t="shared" si="1"/>
        <v>59840</v>
      </c>
    </row>
    <row r="41" spans="1:11" x14ac:dyDescent="0.35">
      <c r="A41" s="1">
        <v>45935</v>
      </c>
      <c r="B41" t="s">
        <v>123</v>
      </c>
      <c r="C41" t="s">
        <v>124</v>
      </c>
      <c r="D41" t="s">
        <v>39</v>
      </c>
      <c r="E41" t="s">
        <v>102</v>
      </c>
      <c r="F41" t="s">
        <v>100</v>
      </c>
      <c r="G41">
        <v>45</v>
      </c>
      <c r="H41">
        <v>600</v>
      </c>
      <c r="I41">
        <v>25</v>
      </c>
      <c r="J41">
        <f t="shared" si="0"/>
        <v>450</v>
      </c>
      <c r="K41">
        <f t="shared" si="1"/>
        <v>20250</v>
      </c>
    </row>
    <row r="42" spans="1:11" x14ac:dyDescent="0.35">
      <c r="A42" s="1">
        <v>45942</v>
      </c>
      <c r="B42" t="s">
        <v>125</v>
      </c>
      <c r="C42" t="s">
        <v>126</v>
      </c>
      <c r="D42" t="s">
        <v>11</v>
      </c>
      <c r="E42" t="s">
        <v>12</v>
      </c>
      <c r="F42" t="s">
        <v>13</v>
      </c>
      <c r="G42">
        <v>6</v>
      </c>
      <c r="H42">
        <v>52000</v>
      </c>
      <c r="I42">
        <v>8</v>
      </c>
      <c r="J42">
        <f t="shared" si="0"/>
        <v>47840</v>
      </c>
      <c r="K42">
        <f t="shared" si="1"/>
        <v>287040</v>
      </c>
    </row>
    <row r="43" spans="1:11" x14ac:dyDescent="0.35">
      <c r="A43" s="1">
        <v>45949</v>
      </c>
      <c r="B43" t="s">
        <v>127</v>
      </c>
      <c r="C43" t="s">
        <v>128</v>
      </c>
      <c r="D43" t="s">
        <v>11</v>
      </c>
      <c r="E43" t="s">
        <v>43</v>
      </c>
      <c r="F43" t="s">
        <v>44</v>
      </c>
      <c r="G43">
        <v>17</v>
      </c>
      <c r="H43">
        <v>14500</v>
      </c>
      <c r="I43">
        <v>10</v>
      </c>
      <c r="J43">
        <f t="shared" si="0"/>
        <v>13050</v>
      </c>
      <c r="K43">
        <f t="shared" si="1"/>
        <v>221850</v>
      </c>
    </row>
    <row r="44" spans="1:11" x14ac:dyDescent="0.35">
      <c r="A44" s="1">
        <v>45956</v>
      </c>
      <c r="B44" t="s">
        <v>129</v>
      </c>
      <c r="C44" t="s">
        <v>130</v>
      </c>
      <c r="D44" t="s">
        <v>11</v>
      </c>
      <c r="E44" t="s">
        <v>75</v>
      </c>
      <c r="F44" t="s">
        <v>72</v>
      </c>
      <c r="G44">
        <v>22</v>
      </c>
      <c r="H44">
        <v>2800</v>
      </c>
      <c r="I44">
        <v>12</v>
      </c>
      <c r="J44">
        <f t="shared" si="0"/>
        <v>2464</v>
      </c>
      <c r="K44">
        <f t="shared" si="1"/>
        <v>54208</v>
      </c>
    </row>
    <row r="45" spans="1:11" x14ac:dyDescent="0.35">
      <c r="A45" s="1">
        <v>45963</v>
      </c>
      <c r="B45" t="s">
        <v>131</v>
      </c>
      <c r="C45" t="s">
        <v>132</v>
      </c>
      <c r="D45" t="s">
        <v>11</v>
      </c>
      <c r="E45" t="s">
        <v>99</v>
      </c>
      <c r="F45" t="s">
        <v>100</v>
      </c>
      <c r="G45">
        <v>36</v>
      </c>
      <c r="H45">
        <v>1800</v>
      </c>
      <c r="I45">
        <v>15</v>
      </c>
      <c r="J45">
        <f t="shared" si="0"/>
        <v>1530</v>
      </c>
      <c r="K45">
        <f t="shared" si="1"/>
        <v>55080</v>
      </c>
    </row>
    <row r="46" spans="1:11" x14ac:dyDescent="0.35">
      <c r="A46" s="1">
        <v>45970</v>
      </c>
      <c r="B46" t="s">
        <v>133</v>
      </c>
      <c r="C46" t="s">
        <v>134</v>
      </c>
      <c r="D46" t="s">
        <v>29</v>
      </c>
      <c r="E46" t="s">
        <v>16</v>
      </c>
      <c r="F46" t="s">
        <v>13</v>
      </c>
      <c r="G46">
        <v>10</v>
      </c>
      <c r="H46">
        <v>8500</v>
      </c>
      <c r="I46">
        <v>18</v>
      </c>
      <c r="J46">
        <f t="shared" si="0"/>
        <v>6970</v>
      </c>
      <c r="K46">
        <f t="shared" si="1"/>
        <v>69700</v>
      </c>
    </row>
    <row r="47" spans="1:11" x14ac:dyDescent="0.35">
      <c r="A47" s="1">
        <v>45977</v>
      </c>
      <c r="B47" t="s">
        <v>135</v>
      </c>
      <c r="C47" t="s">
        <v>136</v>
      </c>
      <c r="D47" t="s">
        <v>19</v>
      </c>
      <c r="E47" t="s">
        <v>47</v>
      </c>
      <c r="F47" t="s">
        <v>44</v>
      </c>
      <c r="G47">
        <v>4</v>
      </c>
      <c r="H47">
        <v>32000</v>
      </c>
      <c r="I47">
        <v>10</v>
      </c>
      <c r="J47">
        <f t="shared" si="0"/>
        <v>28800</v>
      </c>
      <c r="K47">
        <f t="shared" si="1"/>
        <v>115200</v>
      </c>
    </row>
    <row r="48" spans="1:11" x14ac:dyDescent="0.35">
      <c r="A48" s="1">
        <v>45984</v>
      </c>
      <c r="B48" t="s">
        <v>137</v>
      </c>
      <c r="C48" t="s">
        <v>138</v>
      </c>
      <c r="D48" t="s">
        <v>11</v>
      </c>
      <c r="E48" t="s">
        <v>75</v>
      </c>
      <c r="F48" t="s">
        <v>72</v>
      </c>
      <c r="G48">
        <v>18</v>
      </c>
      <c r="H48">
        <v>2500</v>
      </c>
      <c r="I48">
        <v>12</v>
      </c>
      <c r="J48">
        <f t="shared" si="0"/>
        <v>2200</v>
      </c>
      <c r="K48">
        <f t="shared" si="1"/>
        <v>39600</v>
      </c>
    </row>
    <row r="49" spans="1:11" x14ac:dyDescent="0.35">
      <c r="A49" s="1">
        <v>45991</v>
      </c>
      <c r="B49" t="s">
        <v>139</v>
      </c>
      <c r="C49" t="s">
        <v>140</v>
      </c>
      <c r="D49" t="s">
        <v>29</v>
      </c>
      <c r="E49" t="s">
        <v>105</v>
      </c>
      <c r="F49" t="s">
        <v>100</v>
      </c>
      <c r="G49">
        <v>27</v>
      </c>
      <c r="H49">
        <v>1200</v>
      </c>
      <c r="I49">
        <v>20</v>
      </c>
      <c r="J49">
        <f t="shared" si="0"/>
        <v>960</v>
      </c>
      <c r="K49">
        <f t="shared" si="1"/>
        <v>25920</v>
      </c>
    </row>
    <row r="50" spans="1:11" x14ac:dyDescent="0.35">
      <c r="A50" s="1">
        <v>45998</v>
      </c>
      <c r="B50" t="s">
        <v>141</v>
      </c>
      <c r="C50" t="s">
        <v>142</v>
      </c>
      <c r="D50" t="s">
        <v>39</v>
      </c>
      <c r="E50" t="s">
        <v>20</v>
      </c>
      <c r="F50" t="s">
        <v>13</v>
      </c>
      <c r="G50">
        <v>21</v>
      </c>
      <c r="H50">
        <v>2800</v>
      </c>
      <c r="I50">
        <v>15</v>
      </c>
      <c r="J50">
        <f t="shared" si="0"/>
        <v>2380</v>
      </c>
      <c r="K50">
        <f t="shared" si="1"/>
        <v>49980</v>
      </c>
    </row>
    <row r="51" spans="1:11" x14ac:dyDescent="0.35">
      <c r="A51" s="1">
        <v>46005</v>
      </c>
      <c r="B51" t="s">
        <v>143</v>
      </c>
      <c r="C51" t="s">
        <v>144</v>
      </c>
      <c r="D51" t="s">
        <v>19</v>
      </c>
      <c r="E51" t="s">
        <v>50</v>
      </c>
      <c r="F51" t="s">
        <v>44</v>
      </c>
      <c r="G51">
        <v>8</v>
      </c>
      <c r="H51">
        <v>15000</v>
      </c>
      <c r="I51">
        <v>10</v>
      </c>
      <c r="J51">
        <f t="shared" si="0"/>
        <v>13500</v>
      </c>
      <c r="K51">
        <f t="shared" si="1"/>
        <v>108000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2026-06-30T11:36:27Z</dcterms:created>
  <dcterms:modified xsi:type="dcterms:W3CDTF">2026-07-01T11:33:50Z</dcterms:modified>
</cp:coreProperties>
</file>