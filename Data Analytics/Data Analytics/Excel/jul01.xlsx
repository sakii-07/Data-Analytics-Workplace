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E:\Github\Data-Analytics-Workplace\Data Analytics\Data Analytics\Excel\"/>
    </mc:Choice>
  </mc:AlternateContent>
  <bookViews>
    <workbookView xWindow="0" yWindow="0" windowWidth="19200" windowHeight="6930" activeTab="1"/>
  </bookViews>
  <sheets>
    <sheet name="pivot_tables" sheetId="2" r:id="rId1"/>
    <sheet name="Dashboard" sheetId="4" r:id="rId2"/>
    <sheet name="sales_data" sheetId="1" r:id="rId3"/>
  </sheets>
  <definedNames>
    <definedName name="Slicer_category">#N/A</definedName>
    <definedName name="Slicer_Months">#N/A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6" i="2" l="1"/>
  <c r="K15" i="2"/>
  <c r="K14" i="2" l="1"/>
  <c r="K13" i="2"/>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K2" i="1"/>
  <c r="K10" i="1"/>
  <c r="K11" i="1"/>
  <c r="K18" i="1"/>
  <c r="K19" i="1"/>
  <c r="K34" i="1"/>
  <c r="K42" i="1"/>
  <c r="K43" i="1"/>
  <c r="K50" i="1"/>
  <c r="K51" i="1"/>
  <c r="J2" i="1"/>
  <c r="L2" i="1" s="1"/>
  <c r="J3" i="1"/>
  <c r="J4" i="1"/>
  <c r="K4" i="1" s="1"/>
  <c r="J5" i="1"/>
  <c r="K5" i="1" s="1"/>
  <c r="J6" i="1"/>
  <c r="K6" i="1" s="1"/>
  <c r="J7" i="1"/>
  <c r="K7" i="1" s="1"/>
  <c r="J8" i="1"/>
  <c r="K8" i="1" s="1"/>
  <c r="J9" i="1"/>
  <c r="K9" i="1" s="1"/>
  <c r="J10" i="1"/>
  <c r="L10" i="1" s="1"/>
  <c r="J11" i="1"/>
  <c r="L11" i="1" s="1"/>
  <c r="J12" i="1"/>
  <c r="K12" i="1" s="1"/>
  <c r="J13" i="1"/>
  <c r="K13" i="1" s="1"/>
  <c r="J14" i="1"/>
  <c r="K14" i="1" s="1"/>
  <c r="J15" i="1"/>
  <c r="K15" i="1" s="1"/>
  <c r="J16" i="1"/>
  <c r="K16" i="1" s="1"/>
  <c r="J17" i="1"/>
  <c r="K17" i="1" s="1"/>
  <c r="J18" i="1"/>
  <c r="L18" i="1" s="1"/>
  <c r="J19" i="1"/>
  <c r="L19" i="1" s="1"/>
  <c r="J20" i="1"/>
  <c r="K20" i="1" s="1"/>
  <c r="J21" i="1"/>
  <c r="K21" i="1" s="1"/>
  <c r="J22" i="1"/>
  <c r="K22" i="1" s="1"/>
  <c r="J23" i="1"/>
  <c r="K23" i="1" s="1"/>
  <c r="J24" i="1"/>
  <c r="K24" i="1" s="1"/>
  <c r="J25" i="1"/>
  <c r="K25" i="1" s="1"/>
  <c r="J26" i="1"/>
  <c r="J27" i="1"/>
  <c r="J28" i="1"/>
  <c r="K28" i="1" s="1"/>
  <c r="J29" i="1"/>
  <c r="K29" i="1" s="1"/>
  <c r="J30" i="1"/>
  <c r="K30" i="1" s="1"/>
  <c r="J31" i="1"/>
  <c r="K31" i="1" s="1"/>
  <c r="J32" i="1"/>
  <c r="K32" i="1" s="1"/>
  <c r="J33" i="1"/>
  <c r="K33" i="1" s="1"/>
  <c r="J34" i="1"/>
  <c r="L34" i="1" s="1"/>
  <c r="J35" i="1"/>
  <c r="J36" i="1"/>
  <c r="K36" i="1" s="1"/>
  <c r="J37" i="1"/>
  <c r="K37" i="1" s="1"/>
  <c r="J38" i="1"/>
  <c r="K38" i="1" s="1"/>
  <c r="J39" i="1"/>
  <c r="K39" i="1" s="1"/>
  <c r="J40" i="1"/>
  <c r="K40" i="1" s="1"/>
  <c r="J41" i="1"/>
  <c r="K41" i="1" s="1"/>
  <c r="J42" i="1"/>
  <c r="L42" i="1" s="1"/>
  <c r="J43" i="1"/>
  <c r="L43" i="1" s="1"/>
  <c r="J44" i="1"/>
  <c r="K44" i="1" s="1"/>
  <c r="J45" i="1"/>
  <c r="K45" i="1" s="1"/>
  <c r="J46" i="1"/>
  <c r="K46" i="1" s="1"/>
  <c r="J47" i="1"/>
  <c r="K47" i="1" s="1"/>
  <c r="J48" i="1"/>
  <c r="K48" i="1" s="1"/>
  <c r="J49" i="1"/>
  <c r="K49" i="1" s="1"/>
  <c r="J50" i="1"/>
  <c r="L50" i="1" s="1"/>
  <c r="J51" i="1"/>
  <c r="L51" i="1" s="1"/>
  <c r="L3" i="1" l="1"/>
  <c r="L15" i="1"/>
  <c r="L49" i="1"/>
  <c r="L41" i="1"/>
  <c r="L33" i="1"/>
  <c r="L25" i="1"/>
  <c r="L17" i="1"/>
  <c r="L9" i="1"/>
  <c r="L48" i="1"/>
  <c r="L40" i="1"/>
  <c r="L32" i="1"/>
  <c r="L24" i="1"/>
  <c r="L16" i="1"/>
  <c r="L8" i="1"/>
  <c r="L39" i="1"/>
  <c r="L46" i="1"/>
  <c r="L38" i="1"/>
  <c r="L30" i="1"/>
  <c r="L22" i="1"/>
  <c r="L14" i="1"/>
  <c r="L6" i="1"/>
  <c r="K35" i="1"/>
  <c r="L35" i="1" s="1"/>
  <c r="K3" i="1"/>
  <c r="L45" i="1"/>
  <c r="L37" i="1"/>
  <c r="L29" i="1"/>
  <c r="L21" i="1"/>
  <c r="L13" i="1"/>
  <c r="L5" i="1"/>
  <c r="L47" i="1"/>
  <c r="L31" i="1"/>
  <c r="L7" i="1"/>
  <c r="L12" i="1"/>
  <c r="L23" i="1"/>
  <c r="L44" i="1"/>
  <c r="L36" i="1"/>
  <c r="L28" i="1"/>
  <c r="L20" i="1"/>
  <c r="L4" i="1"/>
  <c r="K27" i="1"/>
  <c r="L27" i="1" s="1"/>
  <c r="K26" i="1"/>
  <c r="L26" i="1" s="1"/>
</calcChain>
</file>

<file path=xl/sharedStrings.xml><?xml version="1.0" encoding="utf-8"?>
<sst xmlns="http://schemas.openxmlformats.org/spreadsheetml/2006/main" count="303" uniqueCount="169">
  <si>
    <t>date</t>
  </si>
  <si>
    <t>product_id</t>
  </si>
  <si>
    <t>product_name</t>
  </si>
  <si>
    <t>category</t>
  </si>
  <si>
    <t>city</t>
  </si>
  <si>
    <t>state</t>
  </si>
  <si>
    <t>quantity</t>
  </si>
  <si>
    <t>price_per_unit</t>
  </si>
  <si>
    <t>discount_in_percentage</t>
  </si>
  <si>
    <t>P001</t>
  </si>
  <si>
    <t>Laptop</t>
  </si>
  <si>
    <t>Electronics</t>
  </si>
  <si>
    <t>Mumbai</t>
  </si>
  <si>
    <t>Maharashtra</t>
  </si>
  <si>
    <t>P002</t>
  </si>
  <si>
    <t>Smartphone</t>
  </si>
  <si>
    <t>Pune</t>
  </si>
  <si>
    <t>P003</t>
  </si>
  <si>
    <t>Office Chair</t>
  </si>
  <si>
    <t>Furniture</t>
  </si>
  <si>
    <t>Nagpur</t>
  </si>
  <si>
    <t>P004</t>
  </si>
  <si>
    <t>Dining Table</t>
  </si>
  <si>
    <t>Nashik</t>
  </si>
  <si>
    <t>P005</t>
  </si>
  <si>
    <t>Printer</t>
  </si>
  <si>
    <t>Aurangabad</t>
  </si>
  <si>
    <t>P006</t>
  </si>
  <si>
    <t>Mixer</t>
  </si>
  <si>
    <t>Home Appliances</t>
  </si>
  <si>
    <t>Kolhapur</t>
  </si>
  <si>
    <t>P007</t>
  </si>
  <si>
    <t>Air Conditioner</t>
  </si>
  <si>
    <t>Solapur</t>
  </si>
  <si>
    <t>P008</t>
  </si>
  <si>
    <t>Microwave</t>
  </si>
  <si>
    <t>Thane</t>
  </si>
  <si>
    <t>P009</t>
  </si>
  <si>
    <t>Shoes</t>
  </si>
  <si>
    <t>Fashion</t>
  </si>
  <si>
    <t>P010</t>
  </si>
  <si>
    <t>Backpack</t>
  </si>
  <si>
    <t>P011</t>
  </si>
  <si>
    <t>Ahmedabad</t>
  </si>
  <si>
    <t>Gujarat</t>
  </si>
  <si>
    <t>P012</t>
  </si>
  <si>
    <t>Tablet</t>
  </si>
  <si>
    <t>Surat</t>
  </si>
  <si>
    <t>P013</t>
  </si>
  <si>
    <t>Sofa</t>
  </si>
  <si>
    <t>Vadodara</t>
  </si>
  <si>
    <t>P014</t>
  </si>
  <si>
    <t>Study Table</t>
  </si>
  <si>
    <t>Rajkot</t>
  </si>
  <si>
    <t>P015</t>
  </si>
  <si>
    <t>Washing Machine</t>
  </si>
  <si>
    <t>Bhavnagar</t>
  </si>
  <si>
    <t>P016</t>
  </si>
  <si>
    <t>Refrigerator</t>
  </si>
  <si>
    <t>Jamnagar</t>
  </si>
  <si>
    <t>P017</t>
  </si>
  <si>
    <t>Headphones</t>
  </si>
  <si>
    <t>Gandhinagar</t>
  </si>
  <si>
    <t>P018</t>
  </si>
  <si>
    <t>Smart Watch</t>
  </si>
  <si>
    <t>Anand</t>
  </si>
  <si>
    <t>P019</t>
  </si>
  <si>
    <t>T-Shirt</t>
  </si>
  <si>
    <t>P020</t>
  </si>
  <si>
    <t>Jeans</t>
  </si>
  <si>
    <t>P021</t>
  </si>
  <si>
    <t>Jaipur</t>
  </si>
  <si>
    <t>Rajasthan</t>
  </si>
  <si>
    <t>P022</t>
  </si>
  <si>
    <t>Keyboard</t>
  </si>
  <si>
    <t>Jodhpur</t>
  </si>
  <si>
    <t>P023</t>
  </si>
  <si>
    <t>Mouse</t>
  </si>
  <si>
    <t>Udaipur</t>
  </si>
  <si>
    <t>P024</t>
  </si>
  <si>
    <t>Office Desk</t>
  </si>
  <si>
    <t>Kota</t>
  </si>
  <si>
    <t>P025</t>
  </si>
  <si>
    <t>Bookshelf</t>
  </si>
  <si>
    <t>Ajmer</t>
  </si>
  <si>
    <t>P026</t>
  </si>
  <si>
    <t>Ceiling Fan</t>
  </si>
  <si>
    <t>Bikaner</t>
  </si>
  <si>
    <t>P027</t>
  </si>
  <si>
    <t>Cooler</t>
  </si>
  <si>
    <t>Alwar</t>
  </si>
  <si>
    <t>P028</t>
  </si>
  <si>
    <t>Television</t>
  </si>
  <si>
    <t>Bharatpur</t>
  </si>
  <si>
    <t>P029</t>
  </si>
  <si>
    <t>Jacket</t>
  </si>
  <si>
    <t>P030</t>
  </si>
  <si>
    <t>Sandals</t>
  </si>
  <si>
    <t>P031</t>
  </si>
  <si>
    <t>Bengaluru</t>
  </si>
  <si>
    <t>Karnataka</t>
  </si>
  <si>
    <t>P032</t>
  </si>
  <si>
    <t>Mysuru</t>
  </si>
  <si>
    <t>P033</t>
  </si>
  <si>
    <t>Dining Chair</t>
  </si>
  <si>
    <t>Mangaluru</t>
  </si>
  <si>
    <t>P034</t>
  </si>
  <si>
    <t>Coffee Table</t>
  </si>
  <si>
    <t>Hubballi</t>
  </si>
  <si>
    <t>P035</t>
  </si>
  <si>
    <t>Induction Stove</t>
  </si>
  <si>
    <t>Belagavi</t>
  </si>
  <si>
    <t>P036</t>
  </si>
  <si>
    <t>Water Purifier</t>
  </si>
  <si>
    <t>Shivamogga</t>
  </si>
  <si>
    <t>P037</t>
  </si>
  <si>
    <t>Vacuum Cleaner</t>
  </si>
  <si>
    <t>Davanagere</t>
  </si>
  <si>
    <t>P038</t>
  </si>
  <si>
    <t>Bluetooth Speaker</t>
  </si>
  <si>
    <t>Ballari</t>
  </si>
  <si>
    <t>P039</t>
  </si>
  <si>
    <t>Hoodie</t>
  </si>
  <si>
    <t>P040</t>
  </si>
  <si>
    <t>Cap</t>
  </si>
  <si>
    <t>P041</t>
  </si>
  <si>
    <t>Camera</t>
  </si>
  <si>
    <t>P042</t>
  </si>
  <si>
    <t>Monitor</t>
  </si>
  <si>
    <t>P043</t>
  </si>
  <si>
    <t>Router</t>
  </si>
  <si>
    <t>P044</t>
  </si>
  <si>
    <t>Power Bank</t>
  </si>
  <si>
    <t>P045</t>
  </si>
  <si>
    <t>Air Fryer</t>
  </si>
  <si>
    <t>P046</t>
  </si>
  <si>
    <t>Wardrobe</t>
  </si>
  <si>
    <t>P047</t>
  </si>
  <si>
    <t>Gaming Mouse</t>
  </si>
  <si>
    <t>P048</t>
  </si>
  <si>
    <t>Desk Lamp</t>
  </si>
  <si>
    <t>P049</t>
  </si>
  <si>
    <t>Sneakers</t>
  </si>
  <si>
    <t>P050</t>
  </si>
  <si>
    <t>Office Cabinet</t>
  </si>
  <si>
    <t>total_sales</t>
  </si>
  <si>
    <t>discount_amount</t>
  </si>
  <si>
    <t>Net sales</t>
  </si>
  <si>
    <t>Row Labels</t>
  </si>
  <si>
    <t>Grand Total</t>
  </si>
  <si>
    <t>Jan</t>
  </si>
  <si>
    <t>Feb</t>
  </si>
  <si>
    <t>Mar</t>
  </si>
  <si>
    <t>Apr</t>
  </si>
  <si>
    <t>May</t>
  </si>
  <si>
    <t>Jun</t>
  </si>
  <si>
    <t>Jul</t>
  </si>
  <si>
    <t>Aug</t>
  </si>
  <si>
    <t>Sep</t>
  </si>
  <si>
    <t>Oct</t>
  </si>
  <si>
    <t>Nov</t>
  </si>
  <si>
    <t>Dec</t>
  </si>
  <si>
    <t>Sum of Net sales</t>
  </si>
  <si>
    <t>month</t>
  </si>
  <si>
    <t>total revenue</t>
  </si>
  <si>
    <t>avg net sale</t>
  </si>
  <si>
    <t>Sum of quantity</t>
  </si>
  <si>
    <t>min</t>
  </si>
  <si>
    <t>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</si>
</sst>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 x14ac:knownFonts="1">
    <font>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applyAlignment="1">
      <alignment horizontal="center"/>
    </xf>
  </cellXfs>
  <cellStyles count="1">
    <cellStyle name="Normal" xfId="0" builtinId="0"/>
  </cellStyles>
  <dxfs count="5">
    <dxf>
      <numFmt numFmtId="0" formatCode="General"/>
    </dxf>
    <dxf>
      <numFmt numFmtId="0" formatCode="General"/>
    </dxf>
    <dxf>
      <numFmt numFmtId="0" formatCode="General"/>
    </dxf>
    <dxf>
      <numFmt numFmtId="0" formatCode="General"/>
    </dxf>
    <dxf>
      <numFmt numFmtId="164"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[jul01.xlsx]pivot_tables!PivotTable1</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Monthly revinue</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pivot_tables!$B$3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pivot_tables!$B$4:$B$16</c:f>
              <c:numCache>
                <c:formatCode>General</c:formatCode>
                <c:ptCount val="12"/>
                <c:pt idx="0">
                  <c:v>1555520</c:v>
                </c:pt>
                <c:pt idx="1">
                  <c:v>515240</c:v>
                </c:pt>
                <c:pt idx="2">
                  <c:v>1137440</c:v>
                </c:pt>
                <c:pt idx="3">
                  <c:v>606730</c:v>
                </c:pt>
                <c:pt idx="4">
                  <c:v>889180</c:v>
                </c:pt>
                <c:pt idx="5">
                  <c:v>264100</c:v>
                </c:pt>
                <c:pt idx="6">
                  <c:v>467760</c:v>
                </c:pt>
                <c:pt idx="7">
                  <c:v>1749660</c:v>
                </c:pt>
                <c:pt idx="8">
                  <c:v>352010</c:v>
                </c:pt>
                <c:pt idx="9">
                  <c:v>583348</c:v>
                </c:pt>
                <c:pt idx="10">
                  <c:v>305500</c:v>
                </c:pt>
                <c:pt idx="11">
                  <c:v>157980</c:v>
                </c:pt>
              </c:numCache>
            </c:numRef>
          </c:val>
          <c:smooth val="0"/>
          <c:extLst>
            <c:ext xmlns:c16="http://schemas.microsoft.com/office/drawing/2014/chart" uri="{C3380CC4-5D6E-409C-BE32-E72D297353CC}">
              <c16:uniqueId val="{00000000-6F44-40F7-AD8C-EA7F37FD2283}"/>
            </c:ext>
          </c:extLst>
        </c:ser>
        <c:dLbls>
          <c:showLegendKey val="0"/>
          <c:showVal val="0"/>
          <c:showCatName val="0"/>
          <c:showSerName val="0"/>
          <c:showPercent val="0"/>
          <c:showBubbleSize val="0"/>
        </c:dLbls>
        <c:marker val="1"/>
        <c:smooth val="0"/>
        <c:axId val="397795744"/>
        <c:axId val="397798696"/>
      </c:lineChart>
      <c:catAx>
        <c:axId val="39779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798696"/>
        <c:crosses val="autoZero"/>
        <c:auto val="1"/>
        <c:lblAlgn val="ctr"/>
        <c:lblOffset val="100"/>
        <c:noMultiLvlLbl val="0"/>
      </c:catAx>
      <c:valAx>
        <c:axId val="397798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795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[jul01.xlsx]pivot_tables!PivotTable2</c:name>
    <c:fmtId val="18"/>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Category</a:t>
            </a:r>
            <a:r>
              <a:rPr lang="en-IN" sz="1600" b="1" baseline="0"/>
              <a:t> wise sales</a:t>
            </a:r>
            <a:endParaRPr lang="en-IN" sz="1600" b="1"/>
          </a:p>
        </c:rich>
      </c:tx>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pivot_tables!$F$4</c:f>
              <c:strCache>
                <c:ptCount val="1"/>
                <c:pt idx="0">
                  <c:v>Total</c:v>
                </c:pt>
              </c:strCache>
            </c:strRef>
          </c:tx>
          <c:spPr>
            <a:solidFill>
              <a:schemeClr val="accent1"/>
            </a:solidFill>
            <a:ln>
              <a:noFill/>
            </a:ln>
            <a:effectLst/>
          </c:spPr>
          <c:invertIfNegative val="0"/>
          <c:cat>
            <c:strRef>
              <c:f>pivot_tables!$E$5:$E$9</c:f>
              <c:strCache>
                <c:ptCount val="4"/>
                <c:pt idx="0">
                  <c:v>Electronics</c:v>
                </c:pt>
                <c:pt idx="1">
                  <c:v>Fashion</c:v>
                </c:pt>
                <c:pt idx="2">
                  <c:v>Furniture</c:v>
                </c:pt>
                <c:pt idx="3">
                  <c:v>Home Appliances</c:v>
                </c:pt>
              </c:strCache>
            </c:strRef>
          </c:cat>
          <c:val>
            <c:numRef>
              <c:f>pivot_tables!$F$5:$F$9</c:f>
              <c:numCache>
                <c:formatCode>General</c:formatCode>
                <c:ptCount val="4"/>
                <c:pt idx="0">
                  <c:v>5924478</c:v>
                </c:pt>
                <c:pt idx="1">
                  <c:v>406050</c:v>
                </c:pt>
                <c:pt idx="2">
                  <c:v>961840</c:v>
                </c:pt>
                <c:pt idx="3">
                  <c:v>1292100</c:v>
                </c:pt>
              </c:numCache>
            </c:numRef>
          </c:val>
          <c:extLst>
            <c:ext xmlns:c16="http://schemas.microsoft.com/office/drawing/2014/chart" uri="{C3380CC4-5D6E-409C-BE32-E72D297353CC}">
              <c16:uniqueId val="{00000000-BC30-4D8F-B116-0335C3E2927B}"/>
            </c:ext>
          </c:extLst>
        </c:ser>
        <c:dLbls>
          <c:showLegendKey val="0"/>
          <c:showVal val="0"/>
          <c:showCatName val="0"/>
          <c:showSerName val="0"/>
          <c:showPercent val="0"/>
          <c:showBubbleSize val="0"/>
        </c:dLbls>
        <c:gapWidth val="219"/>
        <c:overlap val="-27"/>
        <c:axId val="398838760"/>
        <c:axId val="398839744"/>
      </c:barChart>
      <c:catAx>
        <c:axId val="398838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39744"/>
        <c:crosses val="autoZero"/>
        <c:auto val="1"/>
        <c:lblAlgn val="ctr"/>
        <c:lblOffset val="100"/>
        <c:noMultiLvlLbl val="0"/>
      </c:catAx>
      <c:valAx>
        <c:axId val="398839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38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[jul01.xlsx]pivot_tables!PivotTable4</c:name>
    <c:fmtId val="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Quntity</a:t>
            </a:r>
          </a:p>
        </c:rich>
      </c:tx>
      <c:layout>
        <c:manualLayout>
          <c:xMode val="edge"/>
          <c:yMode val="edge"/>
          <c:x val="0.44315266841644796"/>
          <c:y val="6.018518518518518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ext>
          </c:extLst>
        </c:dLbl>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pivot_tables!$B$19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AC9-4EA8-9C8C-6A1BFF71EE2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AC9-4EA8-9C8C-6A1BFF71EE2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AC9-4EA8-9C8C-6A1BFF71EE26}"/>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AC9-4EA8-9C8C-6A1BFF71EE2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ext>
            </c:extLst>
          </c:dLbls>
          <c:cat>
            <c:strRef>
              <c:f>pivot_tables!$A$20:$A$24</c:f>
              <c:strCache>
                <c:ptCount val="4"/>
                <c:pt idx="0">
                  <c:v>Electronics</c:v>
                </c:pt>
                <c:pt idx="1">
                  <c:v>Fashion</c:v>
                </c:pt>
                <c:pt idx="2">
                  <c:v>Furniture</c:v>
                </c:pt>
                <c:pt idx="3">
                  <c:v>Home Appliances</c:v>
                </c:pt>
              </c:strCache>
            </c:strRef>
          </c:cat>
          <c:val>
            <c:numRef>
              <c:f>pivot_tables!$B$20:$B$24</c:f>
              <c:numCache>
                <c:formatCode>General</c:formatCode>
                <c:ptCount val="4"/>
                <c:pt idx="0">
                  <c:v>393</c:v>
                </c:pt>
                <c:pt idx="1">
                  <c:v>297</c:v>
                </c:pt>
                <c:pt idx="2">
                  <c:v>112</c:v>
                </c:pt>
                <c:pt idx="3">
                  <c:v>154</c:v>
                </c:pt>
              </c:numCache>
            </c:numRef>
          </c:val>
          <c:extLst>
            <c:ext xmlns:c16="http://schemas.microsoft.com/office/drawing/2014/chart" uri="{C3380CC4-5D6E-409C-BE32-E72D297353CC}">
              <c16:uniqueId val="{00000008-4AC9-4EA8-9C8C-6A1BFF71EE26}"/>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9958544727290939"/>
          <c:y val="0.1921465702722483"/>
          <c:w val="0.25823369777660138"/>
          <c:h val="0.3044158364017359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[jul01.xlsx]pivot_tables!PivotTable2</c:name>
    <c:fmtId val="2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Category wise net sales</a:t>
            </a:r>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s>
    <c:plotArea>
      <c:layout/>
      <c:barChart>
        <c:barDir val="col"/>
        <c:grouping val="clustered"/>
        <c:varyColors val="0"/>
        <c:ser>
          <c:idx val="0"/>
          <c:order val="0"/>
          <c:tx>
            <c:strRef>
              <c:f>pivot_tables!$F$4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pivot_tables!$E$5:$E$9</c:f>
              <c:strCache>
                <c:ptCount val="4"/>
                <c:pt idx="0">
                  <c:v>Electronics</c:v>
                </c:pt>
                <c:pt idx="1">
                  <c:v>Fashion</c:v>
                </c:pt>
                <c:pt idx="2">
                  <c:v>Furniture</c:v>
                </c:pt>
                <c:pt idx="3">
                  <c:v>Home Appliances</c:v>
                </c:pt>
              </c:strCache>
            </c:strRef>
          </c:cat>
          <c:val>
            <c:numRef>
              <c:f>pivot_tables!$F$5:$F$9</c:f>
              <c:numCache>
                <c:formatCode>General</c:formatCode>
                <c:ptCount val="4"/>
                <c:pt idx="0">
                  <c:v>5924478</c:v>
                </c:pt>
                <c:pt idx="1">
                  <c:v>406050</c:v>
                </c:pt>
                <c:pt idx="2">
                  <c:v>961840</c:v>
                </c:pt>
                <c:pt idx="3">
                  <c:v>1292100</c:v>
                </c:pt>
              </c:numCache>
            </c:numRef>
          </c:val>
          <c:extLst>
            <c:ext xmlns:c16="http://schemas.microsoft.com/office/drawing/2014/chart" uri="{C3380CC4-5D6E-409C-BE32-E72D297353CC}">
              <c16:uniqueId val="{00000000-5011-4DE4-B7B1-E5219442F6BB}"/>
            </c:ext>
          </c:extLst>
        </c:ser>
        <c:dLbls>
          <c:showLegendKey val="0"/>
          <c:showVal val="0"/>
          <c:showCatName val="0"/>
          <c:showSerName val="0"/>
          <c:showPercent val="0"/>
          <c:showBubbleSize val="0"/>
        </c:dLbls>
        <c:gapWidth val="355"/>
        <c:overlap val="-70"/>
        <c:axId val="487039800"/>
        <c:axId val="414839368"/>
      </c:barChart>
      <c:catAx>
        <c:axId val="487039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839368"/>
        <c:crosses val="autoZero"/>
        <c:auto val="1"/>
        <c:lblAlgn val="ctr"/>
        <c:lblOffset val="100"/>
        <c:noMultiLvlLbl val="0"/>
      </c:catAx>
      <c:valAx>
        <c:axId val="414839368"/>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039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[jul01.xlsx]pivot_tables!PivotTable3</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 wise Net</a:t>
            </a:r>
            <a:r>
              <a:rPr lang="en-US" baseline="0"/>
              <a:t> sale</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pivot_tables!$I$4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E9C-4D24-953F-4C5BB864A17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E9C-4D24-953F-4C5BB864A17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E9C-4D24-953F-4C5BB864A17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E9C-4D24-953F-4C5BB864A17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pivot_tables!$H$5:$H$9</c:f>
              <c:strCache>
                <c:ptCount val="4"/>
                <c:pt idx="0">
                  <c:v>Gujarat</c:v>
                </c:pt>
                <c:pt idx="1">
                  <c:v>Karnataka</c:v>
                </c:pt>
                <c:pt idx="2">
                  <c:v>Maharashtra</c:v>
                </c:pt>
                <c:pt idx="3">
                  <c:v>Rajasthan</c:v>
                </c:pt>
              </c:strCache>
            </c:strRef>
          </c:cat>
          <c:val>
            <c:numRef>
              <c:f>pivot_tables!$I$5:$I$9</c:f>
              <c:numCache>
                <c:formatCode>General</c:formatCode>
                <c:ptCount val="4"/>
                <c:pt idx="0">
                  <c:v>2326280</c:v>
                </c:pt>
                <c:pt idx="1">
                  <c:v>2202920</c:v>
                </c:pt>
                <c:pt idx="2">
                  <c:v>2581920</c:v>
                </c:pt>
                <c:pt idx="3">
                  <c:v>1473348</c:v>
                </c:pt>
              </c:numCache>
            </c:numRef>
          </c:val>
          <c:extLst>
            <c:ext xmlns:c16="http://schemas.microsoft.com/office/drawing/2014/chart" uri="{C3380CC4-5D6E-409C-BE32-E72D297353CC}">
              <c16:uniqueId val="{00000008-4E9C-4D24-953F-4C5BB864A17B}"/>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[jul01.xlsx]pivot_tables!PivotTable1</c:name>
    <c:fmtId val="16"/>
  </c:pivotSource>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pivot_tables!$B$3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pivot_tables!$B$4:$B$16</c:f>
              <c:numCache>
                <c:formatCode>General</c:formatCode>
                <c:ptCount val="12"/>
                <c:pt idx="0">
                  <c:v>1555520</c:v>
                </c:pt>
                <c:pt idx="1">
                  <c:v>515240</c:v>
                </c:pt>
                <c:pt idx="2">
                  <c:v>1137440</c:v>
                </c:pt>
                <c:pt idx="3">
                  <c:v>606730</c:v>
                </c:pt>
                <c:pt idx="4">
                  <c:v>889180</c:v>
                </c:pt>
                <c:pt idx="5">
                  <c:v>264100</c:v>
                </c:pt>
                <c:pt idx="6">
                  <c:v>467760</c:v>
                </c:pt>
                <c:pt idx="7">
                  <c:v>1749660</c:v>
                </c:pt>
                <c:pt idx="8">
                  <c:v>352010</c:v>
                </c:pt>
                <c:pt idx="9">
                  <c:v>583348</c:v>
                </c:pt>
                <c:pt idx="10">
                  <c:v>305500</c:v>
                </c:pt>
                <c:pt idx="11">
                  <c:v>157980</c:v>
                </c:pt>
              </c:numCache>
            </c:numRef>
          </c:val>
          <c:extLst>
            <c:ext xmlns:c16="http://schemas.microsoft.com/office/drawing/2014/chart" uri="{C3380CC4-5D6E-409C-BE32-E72D297353CC}">
              <c16:uniqueId val="{00000000-46FA-49C2-8EB4-B8B055A2FF44}"/>
            </c:ext>
          </c:extLst>
        </c:ser>
        <c:dLbls>
          <c:showLegendKey val="0"/>
          <c:showVal val="0"/>
          <c:showCatName val="0"/>
          <c:showSerName val="0"/>
          <c:showPercent val="0"/>
          <c:showBubbleSize val="0"/>
        </c:dLbls>
        <c:gapWidth val="100"/>
        <c:overlap val="-24"/>
        <c:axId val="329612224"/>
        <c:axId val="329612552"/>
      </c:barChart>
      <c:catAx>
        <c:axId val="3296122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612552"/>
        <c:crosses val="autoZero"/>
        <c:auto val="1"/>
        <c:lblAlgn val="ctr"/>
        <c:lblOffset val="100"/>
        <c:noMultiLvlLbl val="0"/>
      </c:catAx>
      <c:valAx>
        <c:axId val="329612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612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2729535" cy="697458"/>
    <xdr:sp macro="" textlink="">
      <xdr:nvSpPr>
        <xdr:cNvPr id="2" name="TextBox 1"/>
        <xdr:cNvSpPr txBox="1"/>
      </xdr:nvSpPr>
      <xdr:spPr>
        <a:xfrm>
          <a:off x="0" y="0"/>
          <a:ext cx="12729535" cy="697458"/>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800" b="1">
              <a:solidFill>
                <a:sysClr val="windowText" lastClr="000000"/>
              </a:solidFill>
            </a:rPr>
            <a:t>Sales</a:t>
          </a:r>
          <a:r>
            <a:rPr lang="en-IN" sz="2800" b="1" baseline="0">
              <a:solidFill>
                <a:sysClr val="windowText" lastClr="000000"/>
              </a:solidFill>
            </a:rPr>
            <a:t> Dashboard</a:t>
          </a:r>
          <a:endParaRPr lang="en-IN" sz="2800" b="1">
            <a:solidFill>
              <a:sysClr val="windowText" lastClr="000000"/>
            </a:solidFill>
          </a:endParaRPr>
        </a:p>
      </xdr:txBody>
    </xdr:sp>
    <xdr:clientData/>
  </xdr:oneCellAnchor>
  <xdr:oneCellAnchor>
    <xdr:from>
      <xdr:col>1</xdr:col>
      <xdr:colOff>63396</xdr:colOff>
      <xdr:row>7</xdr:row>
      <xdr:rowOff>92014</xdr:rowOff>
    </xdr:from>
    <xdr:ext cx="1217014" cy="406707"/>
    <xdr:sp macro="" textlink="">
      <xdr:nvSpPr>
        <xdr:cNvPr id="4" name="TextBox 3"/>
        <xdr:cNvSpPr txBox="1"/>
      </xdr:nvSpPr>
      <xdr:spPr>
        <a:xfrm>
          <a:off x="668861" y="1332479"/>
          <a:ext cx="1217014" cy="406707"/>
        </a:xfrm>
        <a:prstGeom prst="snip1Rect">
          <a:avLst/>
        </a:prstGeom>
        <a:solidFill>
          <a:schemeClr val="accent1">
            <a:lumMod val="60000"/>
            <a:lumOff val="40000"/>
          </a:schemeClr>
        </a:solidFill>
      </xdr:spPr>
      <xdr:style>
        <a:lnRef idx="2">
          <a:schemeClr val="dk1"/>
        </a:lnRef>
        <a:fillRef idx="1">
          <a:schemeClr val="lt1"/>
        </a:fillRef>
        <a:effectRef idx="0">
          <a:schemeClr val="dk1"/>
        </a:effectRef>
        <a:fontRef idx="minor">
          <a:schemeClr val="dk1"/>
        </a:fontRef>
      </xdr:style>
      <xdr:txBody>
        <a:bodyPr vertOverflow="clip" horzOverflow="clip" wrap="square" rtlCol="0" anchor="ctr">
          <a:spAutoFit/>
        </a:bodyPr>
        <a:lstStyle/>
        <a:p>
          <a:pPr algn="ctr"/>
          <a:r>
            <a:rPr lang="en-US" sz="1800" b="1"/>
            <a:t>8584468</a:t>
          </a:r>
        </a:p>
      </xdr:txBody>
    </xdr:sp>
    <xdr:clientData/>
  </xdr:oneCellAnchor>
  <xdr:oneCellAnchor>
    <xdr:from>
      <xdr:col>11</xdr:col>
      <xdr:colOff>133350</xdr:colOff>
      <xdr:row>13</xdr:row>
      <xdr:rowOff>6350</xdr:rowOff>
    </xdr:from>
    <xdr:ext cx="184731" cy="264560"/>
    <xdr:sp macro="" textlink="">
      <xdr:nvSpPr>
        <xdr:cNvPr id="14" name="TextBox 13"/>
        <xdr:cNvSpPr txBox="1"/>
      </xdr:nvSpPr>
      <xdr:spPr>
        <a:xfrm>
          <a:off x="6838950" y="24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20819</xdr:colOff>
      <xdr:row>16</xdr:row>
      <xdr:rowOff>10411</xdr:rowOff>
    </xdr:from>
    <xdr:to>
      <xdr:col>6</xdr:col>
      <xdr:colOff>575976</xdr:colOff>
      <xdr:row>32</xdr:row>
      <xdr:rowOff>81822</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215901</xdr:colOff>
      <xdr:row>16</xdr:row>
      <xdr:rowOff>52049</xdr:rowOff>
    </xdr:from>
    <xdr:to>
      <xdr:col>13</xdr:col>
      <xdr:colOff>593361</xdr:colOff>
      <xdr:row>32</xdr:row>
      <xdr:rowOff>31229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84436</xdr:colOff>
      <xdr:row>10</xdr:row>
      <xdr:rowOff>95199</xdr:rowOff>
    </xdr:from>
    <xdr:to>
      <xdr:col>14</xdr:col>
      <xdr:colOff>23747</xdr:colOff>
      <xdr:row>15</xdr:row>
      <xdr:rowOff>15290</xdr:rowOff>
    </xdr:to>
    <mc:AlternateContent xmlns:mc="http://schemas.openxmlformats.org/markup-compatibility/2006" xmlns:a14="http://schemas.microsoft.com/office/drawing/2010/main">
      <mc:Choice Requires="a14">
        <xdr:graphicFrame macro="">
          <xdr:nvGraphicFramePr>
            <xdr:cNvPr id="3"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84436" y="1867292"/>
              <a:ext cx="8415823" cy="806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176967</xdr:colOff>
      <xdr:row>16</xdr:row>
      <xdr:rowOff>62459</xdr:rowOff>
    </xdr:from>
    <xdr:to>
      <xdr:col>20</xdr:col>
      <xdr:colOff>405983</xdr:colOff>
      <xdr:row>32</xdr:row>
      <xdr:rowOff>78281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258476</xdr:colOff>
      <xdr:row>10</xdr:row>
      <xdr:rowOff>117437</xdr:rowOff>
    </xdr:from>
    <xdr:to>
      <xdr:col>20</xdr:col>
      <xdr:colOff>353934</xdr:colOff>
      <xdr:row>15</xdr:row>
      <xdr:rowOff>2930</xdr:rowOff>
    </xdr:to>
    <mc:AlternateContent xmlns:mc="http://schemas.openxmlformats.org/markup-compatibility/2006" xmlns:a14="http://schemas.microsoft.com/office/drawing/2010/main">
      <mc:Choice Requires="a14">
        <xdr:graphicFrame macro="">
          <xdr:nvGraphicFramePr>
            <xdr:cNvPr id="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734988" y="1889530"/>
              <a:ext cx="3728248" cy="77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114508</xdr:colOff>
      <xdr:row>33</xdr:row>
      <xdr:rowOff>145737</xdr:rowOff>
    </xdr:from>
    <xdr:to>
      <xdr:col>7</xdr:col>
      <xdr:colOff>6246</xdr:colOff>
      <xdr:row>47</xdr:row>
      <xdr:rowOff>179934</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187378</xdr:colOff>
      <xdr:row>33</xdr:row>
      <xdr:rowOff>135327</xdr:rowOff>
    </xdr:from>
    <xdr:to>
      <xdr:col>13</xdr:col>
      <xdr:colOff>593361</xdr:colOff>
      <xdr:row>47</xdr:row>
      <xdr:rowOff>176968</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124918</xdr:colOff>
      <xdr:row>33</xdr:row>
      <xdr:rowOff>135328</xdr:rowOff>
    </xdr:from>
    <xdr:to>
      <xdr:col>20</xdr:col>
      <xdr:colOff>426804</xdr:colOff>
      <xdr:row>47</xdr:row>
      <xdr:rowOff>135330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5</xdr:col>
      <xdr:colOff>471833</xdr:colOff>
      <xdr:row>7</xdr:row>
      <xdr:rowOff>88364</xdr:rowOff>
    </xdr:from>
    <xdr:ext cx="1259589" cy="426803"/>
    <xdr:sp macro="" textlink="pivot_tables!K14">
      <xdr:nvSpPr>
        <xdr:cNvPr id="6" name="TextBox 5"/>
        <xdr:cNvSpPr txBox="1"/>
      </xdr:nvSpPr>
      <xdr:spPr>
        <a:xfrm>
          <a:off x="3499159" y="1328829"/>
          <a:ext cx="1259589" cy="426803"/>
        </a:xfrm>
        <a:prstGeom prst="rect">
          <a:avLst/>
        </a:prstGeom>
        <a:solidFill>
          <a:schemeClr val="accent1">
            <a:lumMod val="60000"/>
            <a:lumOff val="40000"/>
          </a:schemeClr>
        </a:solidFill>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fld id="{68E2450F-1A56-4205-9998-A2807480D71C}" type="TxLink">
            <a:rPr lang="en-US" sz="1800" b="1" i="0" u="none" strike="noStrike">
              <a:solidFill>
                <a:srgbClr val="000000"/>
              </a:solidFill>
              <a:latin typeface="Calibri"/>
              <a:ea typeface="Calibri"/>
              <a:cs typeface="Calibri"/>
            </a:rPr>
            <a:pPr/>
            <a:t>171689.36</a:t>
          </a:fld>
          <a:endParaRPr lang="en-IN" sz="1800" b="1"/>
        </a:p>
      </xdr:txBody>
    </xdr:sp>
    <xdr:clientData/>
  </xdr:oneCellAnchor>
  <xdr:oneCellAnchor>
    <xdr:from>
      <xdr:col>5</xdr:col>
      <xdr:colOff>135328</xdr:colOff>
      <xdr:row>4</xdr:row>
      <xdr:rowOff>94658</xdr:rowOff>
    </xdr:from>
    <xdr:ext cx="2009098" cy="458031"/>
    <xdr:sp macro="" textlink="">
      <xdr:nvSpPr>
        <xdr:cNvPr id="7" name="TextBox 6"/>
        <xdr:cNvSpPr txBox="1"/>
      </xdr:nvSpPr>
      <xdr:spPr>
        <a:xfrm>
          <a:off x="3162654" y="803495"/>
          <a:ext cx="2009098" cy="458031"/>
        </a:xfrm>
        <a:prstGeom prst="snip1Rect">
          <a:avLst/>
        </a:prstGeom>
        <a:solidFill>
          <a:schemeClr val="accent1">
            <a:lumMod val="60000"/>
            <a:lumOff val="40000"/>
          </a:schemeClr>
        </a:solidFill>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n-IN" sz="1800" b="1"/>
            <a:t>Average net</a:t>
          </a:r>
          <a:r>
            <a:rPr lang="en-IN" sz="1800" b="1" baseline="0"/>
            <a:t> sale</a:t>
          </a:r>
          <a:endParaRPr lang="en-IN" sz="1800" b="1"/>
        </a:p>
      </xdr:txBody>
    </xdr:sp>
    <xdr:clientData/>
  </xdr:oneCellAnchor>
  <xdr:oneCellAnchor>
    <xdr:from>
      <xdr:col>11</xdr:col>
      <xdr:colOff>13072</xdr:colOff>
      <xdr:row>4</xdr:row>
      <xdr:rowOff>44305</xdr:rowOff>
    </xdr:from>
    <xdr:ext cx="1998689" cy="489261"/>
    <xdr:sp macro="" textlink="">
      <xdr:nvSpPr>
        <xdr:cNvPr id="19" name="TextBox 18"/>
        <xdr:cNvSpPr txBox="1"/>
      </xdr:nvSpPr>
      <xdr:spPr>
        <a:xfrm>
          <a:off x="6673188" y="753142"/>
          <a:ext cx="1998689" cy="489261"/>
        </a:xfrm>
        <a:prstGeom prst="snip1Rect">
          <a:avLst/>
        </a:prstGeom>
        <a:solidFill>
          <a:schemeClr val="accent1">
            <a:lumMod val="60000"/>
            <a:lumOff val="40000"/>
          </a:schemeClr>
        </a:solidFill>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r>
            <a:rPr lang="en-IN" sz="1800" b="1"/>
            <a:t>Minimum</a:t>
          </a:r>
          <a:r>
            <a:rPr lang="en-IN" sz="1800" b="1" baseline="0"/>
            <a:t> sale</a:t>
          </a:r>
          <a:endParaRPr lang="en-IN" sz="1800" b="1"/>
        </a:p>
      </xdr:txBody>
    </xdr:sp>
    <xdr:clientData/>
  </xdr:oneCellAnchor>
  <xdr:oneCellAnchor>
    <xdr:from>
      <xdr:col>0</xdr:col>
      <xdr:colOff>431160</xdr:colOff>
      <xdr:row>4</xdr:row>
      <xdr:rowOff>84249</xdr:rowOff>
    </xdr:from>
    <xdr:ext cx="1821722" cy="468804"/>
    <xdr:sp macro="" textlink="">
      <xdr:nvSpPr>
        <xdr:cNvPr id="21" name="TextBox 20"/>
        <xdr:cNvSpPr txBox="1"/>
      </xdr:nvSpPr>
      <xdr:spPr>
        <a:xfrm>
          <a:off x="431160" y="793086"/>
          <a:ext cx="1821722" cy="468804"/>
        </a:xfrm>
        <a:prstGeom prst="snip1Rect">
          <a:avLst/>
        </a:prstGeom>
        <a:solidFill>
          <a:schemeClr val="accent1">
            <a:lumMod val="60000"/>
            <a:lumOff val="40000"/>
          </a:schemeClr>
        </a:solidFill>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r>
            <a:rPr lang="en-IN" sz="1800" b="1"/>
            <a:t>Total revinue</a:t>
          </a:r>
        </a:p>
      </xdr:txBody>
    </xdr:sp>
    <xdr:clientData/>
  </xdr:oneCellAnchor>
  <xdr:oneCellAnchor>
    <xdr:from>
      <xdr:col>16</xdr:col>
      <xdr:colOff>224659</xdr:colOff>
      <xdr:row>4</xdr:row>
      <xdr:rowOff>48119</xdr:rowOff>
    </xdr:from>
    <xdr:ext cx="1852950" cy="510083"/>
    <xdr:sp macro="" textlink="">
      <xdr:nvSpPr>
        <xdr:cNvPr id="22" name="TextBox 21"/>
        <xdr:cNvSpPr txBox="1"/>
      </xdr:nvSpPr>
      <xdr:spPr>
        <a:xfrm>
          <a:off x="9912101" y="756956"/>
          <a:ext cx="1852950" cy="510083"/>
        </a:xfrm>
        <a:prstGeom prst="snip1Rect">
          <a:avLst/>
        </a:prstGeom>
        <a:solidFill>
          <a:schemeClr val="accent1">
            <a:lumMod val="60000"/>
            <a:lumOff val="40000"/>
          </a:schemeClr>
        </a:solidFill>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r>
            <a:rPr lang="en-IN" sz="1800" b="1"/>
            <a:t>Maximum sale</a:t>
          </a:r>
        </a:p>
      </xdr:txBody>
    </xdr:sp>
    <xdr:clientData/>
  </xdr:oneCellAnchor>
  <xdr:oneCellAnchor>
    <xdr:from>
      <xdr:col>11</xdr:col>
      <xdr:colOff>468443</xdr:colOff>
      <xdr:row>7</xdr:row>
      <xdr:rowOff>70263</xdr:rowOff>
    </xdr:from>
    <xdr:ext cx="1124262" cy="442482"/>
    <xdr:sp macro="" textlink="pivot_tables!K15">
      <xdr:nvSpPr>
        <xdr:cNvPr id="23" name="TextBox 22"/>
        <xdr:cNvSpPr txBox="1"/>
      </xdr:nvSpPr>
      <xdr:spPr>
        <a:xfrm>
          <a:off x="7128559" y="1310728"/>
          <a:ext cx="1124262" cy="442482"/>
        </a:xfrm>
        <a:prstGeom prst="rect">
          <a:avLst/>
        </a:prstGeom>
        <a:solidFill>
          <a:schemeClr val="accent1">
            <a:lumMod val="60000"/>
            <a:lumOff val="40000"/>
          </a:schemeClr>
        </a:solidFill>
      </xdr:spPr>
      <xdr:style>
        <a:lnRef idx="2">
          <a:schemeClr val="dk1"/>
        </a:lnRef>
        <a:fillRef idx="1">
          <a:schemeClr val="lt1"/>
        </a:fillRef>
        <a:effectRef idx="0">
          <a:schemeClr val="dk1"/>
        </a:effectRef>
        <a:fontRef idx="minor">
          <a:schemeClr val="dk1"/>
        </a:fontRef>
      </xdr:style>
      <xdr:txBody>
        <a:bodyPr vertOverflow="clip" horzOverflow="clip" wrap="square" rtlCol="0" anchor="ctr">
          <a:noAutofit/>
        </a:bodyPr>
        <a:lstStyle/>
        <a:p>
          <a:pPr algn="ctr"/>
          <a:fld id="{BA115C41-D454-40A7-97F6-8F33B920D838}" type="TxLink">
            <a:rPr lang="en-US" sz="1800" b="1" i="0" u="none" strike="noStrike">
              <a:solidFill>
                <a:srgbClr val="000000"/>
              </a:solidFill>
              <a:latin typeface="Calibri"/>
              <a:ea typeface="Calibri"/>
              <a:cs typeface="Calibri"/>
            </a:rPr>
            <a:pPr algn="ctr"/>
            <a:t>20250</a:t>
          </a:fld>
          <a:endParaRPr lang="en-IN" sz="1800" b="1"/>
        </a:p>
      </xdr:txBody>
    </xdr:sp>
    <xdr:clientData/>
  </xdr:oneCellAnchor>
  <xdr:oneCellAnchor>
    <xdr:from>
      <xdr:col>16</xdr:col>
      <xdr:colOff>568185</xdr:colOff>
      <xdr:row>7</xdr:row>
      <xdr:rowOff>69479</xdr:rowOff>
    </xdr:from>
    <xdr:ext cx="1176310" cy="489263"/>
    <xdr:sp macro="" textlink="pivot_tables!K16">
      <xdr:nvSpPr>
        <xdr:cNvPr id="24" name="TextBox 23"/>
        <xdr:cNvSpPr txBox="1"/>
      </xdr:nvSpPr>
      <xdr:spPr>
        <a:xfrm>
          <a:off x="10255627" y="1309944"/>
          <a:ext cx="1176310" cy="489263"/>
        </a:xfrm>
        <a:prstGeom prst="snip1Rect">
          <a:avLst/>
        </a:prstGeom>
        <a:solidFill>
          <a:schemeClr val="accent1">
            <a:lumMod val="60000"/>
            <a:lumOff val="40000"/>
          </a:schemeClr>
        </a:solidFill>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fld id="{E8062203-D6F2-4414-934C-AE93810111FE}" type="TxLink">
            <a:rPr lang="en-US" sz="1800" b="1" i="0" u="none" strike="noStrike">
              <a:solidFill>
                <a:srgbClr val="000000"/>
              </a:solidFill>
              <a:latin typeface="Calibri"/>
              <a:ea typeface="Calibri"/>
              <a:cs typeface="Calibri"/>
            </a:rPr>
            <a:pPr algn="ctr"/>
            <a:t>844200</a:t>
          </a:fld>
          <a:endParaRPr lang="en-IN" sz="1800" b="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04.731470254628" createdVersion="6" refreshedVersion="6" minRefreshableVersion="3" recordCount="50">
  <cacheSource type="worksheet">
    <worksheetSource name="product_sales"/>
  </cacheSource>
  <cacheFields count="13">
    <cacheField name="date" numFmtId="164">
      <sharedItems containsSemiMixedTypes="0" containsNonDate="0" containsDate="1" containsString="0" minDate="2025-01-05T00:00:00" maxDate="2025-12-15T00:00:00" count="50">
        <d v="2025-01-05T00:00:00"/>
        <d v="2025-01-12T00:00:00"/>
        <d v="2025-01-19T00:00:00"/>
        <d v="2025-01-26T00:00:00"/>
        <d v="2025-02-02T00:00:00"/>
        <d v="2025-02-09T00:00:00"/>
        <d v="2025-02-16T00:00:00"/>
        <d v="2025-02-23T00:00:00"/>
        <d v="2025-03-02T00:00:00"/>
        <d v="2025-03-09T00:00:00"/>
        <d v="2025-03-16T00:00:00"/>
        <d v="2025-03-23T00:00:00"/>
        <d v="2025-03-30T00:00:00"/>
        <d v="2025-04-06T00:00:00"/>
        <d v="2025-04-13T00:00:00"/>
        <d v="2025-04-20T00:00:00"/>
        <d v="2025-04-27T00:00:00"/>
        <d v="2025-05-04T00:00:00"/>
        <d v="2025-05-11T00:00:00"/>
        <d v="2025-05-18T00:00:00"/>
        <d v="2025-05-25T00:00:00"/>
        <d v="2025-06-01T00:00:00"/>
        <d v="2025-06-08T00:00:00"/>
        <d v="2025-06-15T00:00:00"/>
        <d v="2025-06-22T00:00:00"/>
        <d v="2025-06-29T00:00:00"/>
        <d v="2025-07-06T00:00:00"/>
        <d v="2025-07-13T00:00:00"/>
        <d v="2025-07-20T00:00:00"/>
        <d v="2025-07-27T00:00:00"/>
        <d v="2025-08-03T00:00:00"/>
        <d v="2025-08-10T00:00:00"/>
        <d v="2025-08-17T00:00:00"/>
        <d v="2025-08-24T00:00:00"/>
        <d v="2025-08-31T00:00:00"/>
        <d v="2025-09-07T00:00:00"/>
        <d v="2025-09-14T00:00:00"/>
        <d v="2025-09-21T00:00:00"/>
        <d v="2025-09-28T00:00:00"/>
        <d v="2025-10-05T00:00:00"/>
        <d v="2025-10-12T00:00:00"/>
        <d v="2025-10-19T00:00:00"/>
        <d v="2025-10-26T00:00:00"/>
        <d v="2025-11-02T00:00:00"/>
        <d v="2025-11-09T00:00:00"/>
        <d v="2025-11-16T00:00:00"/>
        <d v="2025-11-23T00:00:00"/>
        <d v="2025-11-30T00:00:00"/>
        <d v="2025-12-07T00:00:00"/>
        <d v="2025-12-14T00:00:00"/>
      </sharedItems>
      <fieldGroup par="12" base="0">
        <rangePr groupBy="days" startDate="2025-01-05T00:00:00" endDate="2025-12-15T00:00:00"/>
        <groupItems count="368">
          <s v="&lt;05-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12-2025"/>
        </groupItems>
      </fieldGroup>
    </cacheField>
    <cacheField name="product_id" numFmtId="0">
      <sharedItems/>
    </cacheField>
    <cacheField name="product_name" numFmtId="0">
      <sharedItems/>
    </cacheField>
    <cacheField name="category" numFmtId="0">
      <sharedItems count="4">
        <s v="Electronics"/>
        <s v="Furniture"/>
        <s v="Home Appliances"/>
        <s v="Fashion"/>
      </sharedItems>
    </cacheField>
    <cacheField name="city" numFmtId="0">
      <sharedItems/>
    </cacheField>
    <cacheField name="state" numFmtId="0">
      <sharedItems count="4">
        <s v="Maharashtra"/>
        <s v="Gujarat"/>
        <s v="Rajasthan"/>
        <s v="Karnataka"/>
      </sharedItems>
    </cacheField>
    <cacheField name="quantity" numFmtId="0">
      <sharedItems containsSemiMixedTypes="0" containsString="0" containsNumber="1" containsInteger="1" minValue="4" maxValue="50"/>
    </cacheField>
    <cacheField name="price_per_unit" numFmtId="0">
      <sharedItems containsSemiMixedTypes="0" containsString="0" containsNumber="1" containsInteger="1" minValue="600" maxValue="67000"/>
    </cacheField>
    <cacheField name="discount_in_percentage" numFmtId="0">
      <sharedItems containsSemiMixedTypes="0" containsString="0" containsNumber="1" containsInteger="1" minValue="5" maxValue="25"/>
    </cacheField>
    <cacheField name="total_sales" numFmtId="0">
      <sharedItems containsSemiMixedTypes="0" containsString="0" containsNumber="1" containsInteger="1" minValue="27000" maxValue="938000"/>
    </cacheField>
    <cacheField name="discount_amount" numFmtId="0">
      <sharedItems containsSemiMixedTypes="0" containsString="0" containsNumber="1" containsInteger="1" minValue="5040" maxValue="93800"/>
    </cacheField>
    <cacheField name="Net sales" numFmtId="0">
      <sharedItems containsSemiMixedTypes="0" containsString="0" containsNumber="1" containsInteger="1" minValue="20250" maxValue="844200"/>
    </cacheField>
    <cacheField name="Months" numFmtId="0" databaseField="0">
      <fieldGroup base="0">
        <rangePr groupBy="months" startDate="2025-01-05T00:00:00" endDate="2025-12-15T00:00:00"/>
        <groupItems count="14">
          <s v="&lt;05-01-2025"/>
          <s v="Jan"/>
          <s v="Feb"/>
          <s v="Mar"/>
          <s v="Apr"/>
          <s v="May"/>
          <s v="Jun"/>
          <s v="Jul"/>
          <s v="Aug"/>
          <s v="Sep"/>
          <s v="Oct"/>
          <s v="Nov"/>
          <s v="Dec"/>
          <s v="&gt;15-12-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x v="0"/>
    <s v="P001"/>
    <s v="Laptop"/>
    <x v="0"/>
    <s v="Mumbai"/>
    <x v="0"/>
    <n v="12"/>
    <n v="65000"/>
    <n v="10"/>
    <n v="780000"/>
    <n v="78000"/>
    <n v="702000"/>
  </r>
  <r>
    <x v="1"/>
    <s v="P002"/>
    <s v="Smartphone"/>
    <x v="0"/>
    <s v="Pune"/>
    <x v="0"/>
    <n v="25"/>
    <n v="28000"/>
    <n v="8"/>
    <n v="700000"/>
    <n v="56000"/>
    <n v="644000"/>
  </r>
  <r>
    <x v="2"/>
    <s v="P003"/>
    <s v="Office Chair"/>
    <x v="1"/>
    <s v="Nagpur"/>
    <x v="0"/>
    <n v="18"/>
    <n v="5500"/>
    <n v="12"/>
    <n v="99000"/>
    <n v="11880"/>
    <n v="87120"/>
  </r>
  <r>
    <x v="3"/>
    <s v="P004"/>
    <s v="Dining Table"/>
    <x v="1"/>
    <s v="Nashik"/>
    <x v="0"/>
    <n v="8"/>
    <n v="18000"/>
    <n v="15"/>
    <n v="144000"/>
    <n v="21600"/>
    <n v="122400"/>
  </r>
  <r>
    <x v="4"/>
    <s v="P005"/>
    <s v="Printer"/>
    <x v="0"/>
    <s v="Aurangabad"/>
    <x v="0"/>
    <n v="10"/>
    <n v="12000"/>
    <n v="5"/>
    <n v="120000"/>
    <n v="6000"/>
    <n v="114000"/>
  </r>
  <r>
    <x v="5"/>
    <s v="P006"/>
    <s v="Mixer"/>
    <x v="2"/>
    <s v="Kolhapur"/>
    <x v="0"/>
    <n v="20"/>
    <n v="3500"/>
    <n v="18"/>
    <n v="70000"/>
    <n v="12600"/>
    <n v="57400"/>
  </r>
  <r>
    <x v="6"/>
    <s v="P007"/>
    <s v="Air Conditioner"/>
    <x v="2"/>
    <s v="Solapur"/>
    <x v="0"/>
    <n v="6"/>
    <n v="42000"/>
    <n v="10"/>
    <n v="252000"/>
    <n v="25200"/>
    <n v="226800"/>
  </r>
  <r>
    <x v="7"/>
    <s v="P008"/>
    <s v="Microwave"/>
    <x v="2"/>
    <s v="Thane"/>
    <x v="0"/>
    <n v="14"/>
    <n v="9500"/>
    <n v="12"/>
    <n v="133000"/>
    <n v="15960"/>
    <n v="117040"/>
  </r>
  <r>
    <x v="8"/>
    <s v="P009"/>
    <s v="Shoes"/>
    <x v="3"/>
    <s v="Mumbai"/>
    <x v="0"/>
    <n v="35"/>
    <n v="2200"/>
    <n v="20"/>
    <n v="77000"/>
    <n v="15400"/>
    <n v="61600"/>
  </r>
  <r>
    <x v="9"/>
    <s v="P010"/>
    <s v="Backpack"/>
    <x v="3"/>
    <s v="Pune"/>
    <x v="0"/>
    <n v="28"/>
    <n v="1800"/>
    <n v="15"/>
    <n v="50400"/>
    <n v="7560"/>
    <n v="42840"/>
  </r>
  <r>
    <x v="10"/>
    <s v="P011"/>
    <s v="Laptop"/>
    <x v="0"/>
    <s v="Ahmedabad"/>
    <x v="1"/>
    <n v="10"/>
    <n v="62000"/>
    <n v="9"/>
    <n v="620000"/>
    <n v="55800"/>
    <n v="564200"/>
  </r>
  <r>
    <x v="11"/>
    <s v="P012"/>
    <s v="Tablet"/>
    <x v="0"/>
    <s v="Surat"/>
    <x v="1"/>
    <n v="16"/>
    <n v="24000"/>
    <n v="10"/>
    <n v="384000"/>
    <n v="38400"/>
    <n v="345600"/>
  </r>
  <r>
    <x v="12"/>
    <s v="P013"/>
    <s v="Sofa"/>
    <x v="1"/>
    <s v="Vadodara"/>
    <x v="1"/>
    <n v="5"/>
    <n v="28000"/>
    <n v="12"/>
    <n v="140000"/>
    <n v="16800"/>
    <n v="123200"/>
  </r>
  <r>
    <x v="13"/>
    <s v="P014"/>
    <s v="Study Table"/>
    <x v="1"/>
    <s v="Rajkot"/>
    <x v="1"/>
    <n v="15"/>
    <n v="7000"/>
    <n v="8"/>
    <n v="105000"/>
    <n v="8400"/>
    <n v="96600"/>
  </r>
  <r>
    <x v="14"/>
    <s v="P015"/>
    <s v="Washing Machine"/>
    <x v="2"/>
    <s v="Bhavnagar"/>
    <x v="1"/>
    <n v="7"/>
    <n v="26000"/>
    <n v="10"/>
    <n v="182000"/>
    <n v="18200"/>
    <n v="163800"/>
  </r>
  <r>
    <x v="15"/>
    <s v="P016"/>
    <s v="Refrigerator"/>
    <x v="2"/>
    <s v="Jamnagar"/>
    <x v="1"/>
    <n v="9"/>
    <n v="33000"/>
    <n v="11"/>
    <n v="297000"/>
    <n v="32670"/>
    <n v="264330"/>
  </r>
  <r>
    <x v="16"/>
    <s v="P017"/>
    <s v="Headphones"/>
    <x v="0"/>
    <s v="Gandhinagar"/>
    <x v="1"/>
    <n v="40"/>
    <n v="2500"/>
    <n v="18"/>
    <n v="100000"/>
    <n v="18000"/>
    <n v="82000"/>
  </r>
  <r>
    <x v="17"/>
    <s v="P018"/>
    <s v="Smart Watch"/>
    <x v="0"/>
    <s v="Anand"/>
    <x v="1"/>
    <n v="22"/>
    <n v="9000"/>
    <n v="15"/>
    <n v="198000"/>
    <n v="29700"/>
    <n v="168300"/>
  </r>
  <r>
    <x v="18"/>
    <s v="P019"/>
    <s v="T-Shirt"/>
    <x v="3"/>
    <s v="Ahmedabad"/>
    <x v="1"/>
    <n v="50"/>
    <n v="800"/>
    <n v="25"/>
    <n v="40000"/>
    <n v="10000"/>
    <n v="30000"/>
  </r>
  <r>
    <x v="19"/>
    <s v="P020"/>
    <s v="Jeans"/>
    <x v="3"/>
    <s v="Surat"/>
    <x v="1"/>
    <n v="30"/>
    <n v="1800"/>
    <n v="20"/>
    <n v="54000"/>
    <n v="10800"/>
    <n v="43200"/>
  </r>
  <r>
    <x v="20"/>
    <s v="P021"/>
    <s v="Laptop"/>
    <x v="0"/>
    <s v="Jaipur"/>
    <x v="2"/>
    <n v="11"/>
    <n v="64000"/>
    <n v="8"/>
    <n v="704000"/>
    <n v="56320"/>
    <n v="647680"/>
  </r>
  <r>
    <x v="21"/>
    <s v="P022"/>
    <s v="Keyboard"/>
    <x v="0"/>
    <s v="Jodhpur"/>
    <x v="2"/>
    <n v="32"/>
    <n v="1200"/>
    <n v="15"/>
    <n v="38400"/>
    <n v="5760"/>
    <n v="32640"/>
  </r>
  <r>
    <x v="22"/>
    <s v="P023"/>
    <s v="Mouse"/>
    <x v="0"/>
    <s v="Udaipur"/>
    <x v="2"/>
    <n v="40"/>
    <n v="800"/>
    <n v="18"/>
    <n v="32000"/>
    <n v="5760"/>
    <n v="26240"/>
  </r>
  <r>
    <x v="23"/>
    <s v="P024"/>
    <s v="Office Desk"/>
    <x v="1"/>
    <s v="Kota"/>
    <x v="2"/>
    <n v="10"/>
    <n v="9500"/>
    <n v="10"/>
    <n v="95000"/>
    <n v="9500"/>
    <n v="85500"/>
  </r>
  <r>
    <x v="24"/>
    <s v="P025"/>
    <s v="Bookshelf"/>
    <x v="1"/>
    <s v="Ajmer"/>
    <x v="2"/>
    <n v="13"/>
    <n v="6500"/>
    <n v="12"/>
    <n v="84500"/>
    <n v="10140"/>
    <n v="74360"/>
  </r>
  <r>
    <x v="25"/>
    <s v="P026"/>
    <s v="Ceiling Fan"/>
    <x v="2"/>
    <s v="Bikaner"/>
    <x v="2"/>
    <n v="18"/>
    <n v="2800"/>
    <n v="10"/>
    <n v="50400"/>
    <n v="5040"/>
    <n v="45360"/>
  </r>
  <r>
    <x v="26"/>
    <s v="P027"/>
    <s v="Cooler"/>
    <x v="2"/>
    <s v="Alwar"/>
    <x v="2"/>
    <n v="12"/>
    <n v="8500"/>
    <n v="15"/>
    <n v="102000"/>
    <n v="15300"/>
    <n v="86700"/>
  </r>
  <r>
    <x v="27"/>
    <s v="P028"/>
    <s v="Television"/>
    <x v="0"/>
    <s v="Bharatpur"/>
    <x v="2"/>
    <n v="8"/>
    <n v="38000"/>
    <n v="7"/>
    <n v="304000"/>
    <n v="21280"/>
    <n v="282720"/>
  </r>
  <r>
    <x v="28"/>
    <s v="P029"/>
    <s v="Jacket"/>
    <x v="3"/>
    <s v="Jaipur"/>
    <x v="2"/>
    <n v="24"/>
    <n v="3200"/>
    <n v="20"/>
    <n v="76800"/>
    <n v="15360"/>
    <n v="61440"/>
  </r>
  <r>
    <x v="29"/>
    <s v="P030"/>
    <s v="Sandals"/>
    <x v="3"/>
    <s v="Udaipur"/>
    <x v="2"/>
    <n v="30"/>
    <n v="1500"/>
    <n v="18"/>
    <n v="45000"/>
    <n v="8100"/>
    <n v="36900"/>
  </r>
  <r>
    <x v="30"/>
    <s v="P031"/>
    <s v="Laptop"/>
    <x v="0"/>
    <s v="Bengaluru"/>
    <x v="3"/>
    <n v="14"/>
    <n v="67000"/>
    <n v="10"/>
    <n v="938000"/>
    <n v="93800"/>
    <n v="844200"/>
  </r>
  <r>
    <x v="31"/>
    <s v="P032"/>
    <s v="Smartphone"/>
    <x v="0"/>
    <s v="Mysuru"/>
    <x v="3"/>
    <n v="26"/>
    <n v="30000"/>
    <n v="9"/>
    <n v="780000"/>
    <n v="70200"/>
    <n v="709800"/>
  </r>
  <r>
    <x v="32"/>
    <s v="P033"/>
    <s v="Dining Chair"/>
    <x v="1"/>
    <s v="Mangaluru"/>
    <x v="3"/>
    <n v="20"/>
    <n v="4200"/>
    <n v="14"/>
    <n v="84000"/>
    <n v="11760"/>
    <n v="72240"/>
  </r>
  <r>
    <x v="33"/>
    <s v="P034"/>
    <s v="Coffee Table"/>
    <x v="1"/>
    <s v="Hubballi"/>
    <x v="3"/>
    <n v="11"/>
    <n v="7800"/>
    <n v="10"/>
    <n v="85800"/>
    <n v="8580"/>
    <n v="77220"/>
  </r>
  <r>
    <x v="34"/>
    <s v="P035"/>
    <s v="Induction Stove"/>
    <x v="2"/>
    <s v="Belagavi"/>
    <x v="3"/>
    <n v="15"/>
    <n v="3500"/>
    <n v="12"/>
    <n v="52500"/>
    <n v="6300"/>
    <n v="46200"/>
  </r>
  <r>
    <x v="35"/>
    <s v="P036"/>
    <s v="Water Purifier"/>
    <x v="2"/>
    <s v="Shivamogga"/>
    <x v="3"/>
    <n v="9"/>
    <n v="14500"/>
    <n v="10"/>
    <n v="130500"/>
    <n v="13050"/>
    <n v="117450"/>
  </r>
  <r>
    <x v="36"/>
    <s v="P037"/>
    <s v="Vacuum Cleaner"/>
    <x v="2"/>
    <s v="Davanagere"/>
    <x v="3"/>
    <n v="7"/>
    <n v="12000"/>
    <n v="15"/>
    <n v="84000"/>
    <n v="12600"/>
    <n v="71400"/>
  </r>
  <r>
    <x v="37"/>
    <s v="P038"/>
    <s v="Bluetooth Speaker"/>
    <x v="0"/>
    <s v="Ballari"/>
    <x v="3"/>
    <n v="28"/>
    <n v="4500"/>
    <n v="18"/>
    <n v="126000"/>
    <n v="22680"/>
    <n v="103320"/>
  </r>
  <r>
    <x v="38"/>
    <s v="P039"/>
    <s v="Hoodie"/>
    <x v="3"/>
    <s v="Bengaluru"/>
    <x v="3"/>
    <n v="34"/>
    <n v="2200"/>
    <n v="20"/>
    <n v="74800"/>
    <n v="14960"/>
    <n v="59840"/>
  </r>
  <r>
    <x v="39"/>
    <s v="P040"/>
    <s v="Cap"/>
    <x v="3"/>
    <s v="Mysuru"/>
    <x v="3"/>
    <n v="45"/>
    <n v="600"/>
    <n v="25"/>
    <n v="27000"/>
    <n v="6750"/>
    <n v="20250"/>
  </r>
  <r>
    <x v="40"/>
    <s v="P041"/>
    <s v="Camera"/>
    <x v="0"/>
    <s v="Mumbai"/>
    <x v="0"/>
    <n v="6"/>
    <n v="52000"/>
    <n v="8"/>
    <n v="312000"/>
    <n v="24960"/>
    <n v="287040"/>
  </r>
  <r>
    <x v="41"/>
    <s v="P042"/>
    <s v="Monitor"/>
    <x v="0"/>
    <s v="Ahmedabad"/>
    <x v="1"/>
    <n v="17"/>
    <n v="14500"/>
    <n v="10"/>
    <n v="246500"/>
    <n v="24650"/>
    <n v="221850"/>
  </r>
  <r>
    <x v="42"/>
    <s v="P043"/>
    <s v="Router"/>
    <x v="0"/>
    <s v="Jodhpur"/>
    <x v="2"/>
    <n v="22"/>
    <n v="2800"/>
    <n v="12"/>
    <n v="61600"/>
    <n v="7392"/>
    <n v="54208"/>
  </r>
  <r>
    <x v="43"/>
    <s v="P044"/>
    <s v="Power Bank"/>
    <x v="0"/>
    <s v="Bengaluru"/>
    <x v="3"/>
    <n v="36"/>
    <n v="1800"/>
    <n v="15"/>
    <n v="64800"/>
    <n v="9720"/>
    <n v="55080"/>
  </r>
  <r>
    <x v="44"/>
    <s v="P045"/>
    <s v="Air Fryer"/>
    <x v="2"/>
    <s v="Pune"/>
    <x v="0"/>
    <n v="10"/>
    <n v="8500"/>
    <n v="18"/>
    <n v="85000"/>
    <n v="15300"/>
    <n v="69700"/>
  </r>
  <r>
    <x v="45"/>
    <s v="P046"/>
    <s v="Wardrobe"/>
    <x v="1"/>
    <s v="Surat"/>
    <x v="1"/>
    <n v="4"/>
    <n v="32000"/>
    <n v="10"/>
    <n v="128000"/>
    <n v="12800"/>
    <n v="115200"/>
  </r>
  <r>
    <x v="46"/>
    <s v="P047"/>
    <s v="Gaming Mouse"/>
    <x v="0"/>
    <s v="Jodhpur"/>
    <x v="2"/>
    <n v="18"/>
    <n v="2500"/>
    <n v="12"/>
    <n v="45000"/>
    <n v="5400"/>
    <n v="39600"/>
  </r>
  <r>
    <x v="47"/>
    <s v="P048"/>
    <s v="Desk Lamp"/>
    <x v="2"/>
    <s v="Mangaluru"/>
    <x v="3"/>
    <n v="27"/>
    <n v="1200"/>
    <n v="20"/>
    <n v="32400"/>
    <n v="6480"/>
    <n v="25920"/>
  </r>
  <r>
    <x v="48"/>
    <s v="P049"/>
    <s v="Sneakers"/>
    <x v="3"/>
    <s v="Nagpur"/>
    <x v="0"/>
    <n v="21"/>
    <n v="2800"/>
    <n v="15"/>
    <n v="58800"/>
    <n v="8820"/>
    <n v="49980"/>
  </r>
  <r>
    <x v="49"/>
    <s v="P050"/>
    <s v="Office Cabinet"/>
    <x v="1"/>
    <s v="Vadodara"/>
    <x v="1"/>
    <n v="8"/>
    <n v="15000"/>
    <n v="10"/>
    <n v="120000"/>
    <n v="12000"/>
    <n v="108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5">
  <location ref="A19:B24" firstHeaderRow="1" firstDataRow="1" firstDataCol="1"/>
  <pivotFields count="13">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5">
        <item x="0"/>
        <item x="3"/>
        <item x="1"/>
        <item x="2"/>
        <item t="default"/>
      </items>
    </pivotField>
    <pivotField showAll="0"/>
    <pivotField showAll="0"/>
    <pivotField dataField="1"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5">
    <i>
      <x/>
    </i>
    <i>
      <x v="1"/>
    </i>
    <i>
      <x v="2"/>
    </i>
    <i>
      <x v="3"/>
    </i>
    <i t="grand">
      <x/>
    </i>
  </rowItems>
  <colItems count="1">
    <i/>
  </colItems>
  <dataFields count="1">
    <dataField name="Sum of quantity" fld="6" baseField="0" baseItem="0"/>
  </dataFields>
  <chartFormats count="5">
    <chartFormat chart="24" format="7" series="1">
      <pivotArea type="data" outline="0" fieldPosition="0">
        <references count="1">
          <reference field="4294967294" count="1" selected="0">
            <x v="0"/>
          </reference>
        </references>
      </pivotArea>
    </chartFormat>
    <chartFormat chart="24" format="8">
      <pivotArea type="data" outline="0" fieldPosition="0">
        <references count="2">
          <reference field="4294967294" count="1" selected="0">
            <x v="0"/>
          </reference>
          <reference field="3" count="1" selected="0">
            <x v="0"/>
          </reference>
        </references>
      </pivotArea>
    </chartFormat>
    <chartFormat chart="24" format="9">
      <pivotArea type="data" outline="0" fieldPosition="0">
        <references count="2">
          <reference field="4294967294" count="1" selected="0">
            <x v="0"/>
          </reference>
          <reference field="3" count="1" selected="0">
            <x v="1"/>
          </reference>
        </references>
      </pivotArea>
    </chartFormat>
    <chartFormat chart="24" format="10">
      <pivotArea type="data" outline="0" fieldPosition="0">
        <references count="2">
          <reference field="4294967294" count="1" selected="0">
            <x v="0"/>
          </reference>
          <reference field="3" count="1" selected="0">
            <x v="2"/>
          </reference>
        </references>
      </pivotArea>
    </chartFormat>
    <chartFormat chart="24" format="1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5">
  <location ref="E4:F9" firstHeaderRow="1" firstDataRow="1" firstDataCol="1"/>
  <pivotFields count="13">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5">
        <item x="0"/>
        <item x="3"/>
        <item x="1"/>
        <item x="2"/>
        <item t="default"/>
      </items>
    </pivotField>
    <pivotField showAll="0"/>
    <pivotField showAll="0"/>
    <pivotField showAll="0"/>
    <pivotField showAll="0"/>
    <pivotField showAll="0"/>
    <pivotField showAll="0"/>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5">
    <i>
      <x/>
    </i>
    <i>
      <x v="1"/>
    </i>
    <i>
      <x v="2"/>
    </i>
    <i>
      <x v="3"/>
    </i>
    <i t="grand">
      <x/>
    </i>
  </rowItems>
  <colItems count="1">
    <i/>
  </colItems>
  <dataFields count="1">
    <dataField name="Sum of Net sales" fld="11" baseField="0" baseItem="0"/>
  </dataFields>
  <chartFormats count="6">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3:B16" firstHeaderRow="1" firstDataRow="1" firstDataCol="1"/>
  <pivotFields count="13">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0"/>
        <item x="3"/>
        <item x="1"/>
        <item x="2"/>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Net sales" fld="11" baseField="0" baseItem="0"/>
  </dataFields>
  <chartFormats count="9">
    <chartFormat chart="1"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H4:I9" firstHeaderRow="1" firstDataRow="1" firstDataCol="1"/>
  <pivotFields count="13">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5">
        <item x="0"/>
        <item x="3"/>
        <item x="1"/>
        <item x="2"/>
        <item t="default"/>
      </items>
    </pivotField>
    <pivotField showAll="0"/>
    <pivotField axis="axisRow" showAll="0">
      <items count="5">
        <item x="1"/>
        <item x="3"/>
        <item x="0"/>
        <item x="2"/>
        <item t="default"/>
      </items>
    </pivotField>
    <pivotField showAll="0"/>
    <pivotField showAll="0"/>
    <pivotField showAll="0"/>
    <pivotField showAll="0"/>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5"/>
  </rowFields>
  <rowItems count="5">
    <i>
      <x/>
    </i>
    <i>
      <x v="1"/>
    </i>
    <i>
      <x v="2"/>
    </i>
    <i>
      <x v="3"/>
    </i>
    <i t="grand">
      <x/>
    </i>
  </rowItems>
  <colItems count="1">
    <i/>
  </colItems>
  <dataFields count="1">
    <dataField name="Sum of Net sales" fld="11" baseField="0" baseItem="0"/>
  </dataFields>
  <chartFormats count="6">
    <chartFormat chart="1" format="1"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5" count="1" selected="0">
            <x v="0"/>
          </reference>
        </references>
      </pivotArea>
    </chartFormat>
    <chartFormat chart="4" format="9">
      <pivotArea type="data" outline="0" fieldPosition="0">
        <references count="2">
          <reference field="4294967294" count="1" selected="0">
            <x v="0"/>
          </reference>
          <reference field="5" count="1" selected="0">
            <x v="1"/>
          </reference>
        </references>
      </pivotArea>
    </chartFormat>
    <chartFormat chart="4" format="10">
      <pivotArea type="data" outline="0" fieldPosition="0">
        <references count="2">
          <reference field="4294967294" count="1" selected="0">
            <x v="0"/>
          </reference>
          <reference field="5" count="1" selected="0">
            <x v="2"/>
          </reference>
        </references>
      </pivotArea>
    </chartFormat>
    <chartFormat chart="4" format="1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2" name="PivotTable1"/>
    <pivotTable tabId="2" name="PivotTable2"/>
    <pivotTable tabId="2" name="PivotTable3"/>
    <pivotTable tabId="2" name="PivotTable4"/>
  </pivotTables>
  <data>
    <tabular pivotCacheId="1">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2"/>
    <pivotTable tabId="2" name="PivotTable1"/>
    <pivotTable tabId="2" name="PivotTable3"/>
    <pivotTable tabId="2" name="PivotTable4"/>
  </pivotTables>
  <data>
    <tabular pivotCacheId="1">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s" cache="Slicer_Months" caption="Months" columnCount="12" rowHeight="241300"/>
  <slicer name="category" cache="Slicer_category" caption="category" columnCount="2" rowHeight="241300"/>
</slicers>
</file>

<file path=xl/tables/table1.xml><?xml version="1.0" encoding="utf-8"?>
<table xmlns="http://schemas.openxmlformats.org/spreadsheetml/2006/main" id="1" name="product_sales" displayName="product_sales" ref="A1:M51" totalsRowShown="0">
  <autoFilter ref="A1:M51"/>
  <tableColumns count="13">
    <tableColumn id="1" name="date" dataDxfId="4"/>
    <tableColumn id="2" name="product_id"/>
    <tableColumn id="3" name="product_name"/>
    <tableColumn id="4" name="category"/>
    <tableColumn id="5" name="city"/>
    <tableColumn id="6" name="state"/>
    <tableColumn id="7" name="quantity"/>
    <tableColumn id="8" name="price_per_unit"/>
    <tableColumn id="9" name="discount_in_percentage"/>
    <tableColumn id="12" name="total_sales" dataDxfId="3">
      <calculatedColumnFormula>product_sales[[#This Row],[price_per_unit]]*product_sales[[#This Row],[quantity]]</calculatedColumnFormula>
    </tableColumn>
    <tableColumn id="13" name="discount_amount" dataDxfId="2">
      <calculatedColumnFormula>product_sales[[#This Row],[total_sales]]*product_sales[[#This Row],[discount_in_percentage]]/100</calculatedColumnFormula>
    </tableColumn>
    <tableColumn id="14" name="Net sales" dataDxfId="1">
      <calculatedColumnFormula>product_sales[[#This Row],[total_sales]]-product_sales[[#This Row],[discount_amount]]</calculatedColumnFormula>
    </tableColumn>
    <tableColumn id="15" name="month" dataDxfId="0">
      <calculatedColumnFormula>TEXT(product_sales[[#This Row],[date]],"mmmm")</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24"/>
  <sheetViews>
    <sheetView topLeftCell="B1" workbookViewId="0">
      <selection activeCell="K17" sqref="K17"/>
    </sheetView>
  </sheetViews>
  <sheetFormatPr defaultRowHeight="14.5" x14ac:dyDescent="0.35"/>
  <cols>
    <col min="1" max="1" width="15.36328125" customWidth="1"/>
    <col min="2" max="2" width="14.26953125" customWidth="1"/>
    <col min="5" max="5" width="15.36328125" customWidth="1"/>
    <col min="6" max="6" width="14.7265625" bestFit="1" customWidth="1"/>
    <col min="8" max="8" width="12.36328125" customWidth="1"/>
    <col min="9" max="9" width="14.7265625" bestFit="1" customWidth="1"/>
    <col min="10" max="10" width="11.90625" bestFit="1" customWidth="1"/>
  </cols>
  <sheetData>
    <row r="3" spans="1:11" x14ac:dyDescent="0.35">
      <c r="A3" s="2" t="s">
        <v>148</v>
      </c>
      <c r="B3" t="s">
        <v>162</v>
      </c>
    </row>
    <row r="4" spans="1:11" x14ac:dyDescent="0.35">
      <c r="A4" s="3" t="s">
        <v>150</v>
      </c>
      <c r="B4" s="4">
        <v>1555520</v>
      </c>
      <c r="E4" s="2" t="s">
        <v>148</v>
      </c>
      <c r="F4" t="s">
        <v>162</v>
      </c>
      <c r="H4" s="2" t="s">
        <v>148</v>
      </c>
      <c r="I4" t="s">
        <v>162</v>
      </c>
    </row>
    <row r="5" spans="1:11" x14ac:dyDescent="0.35">
      <c r="A5" s="3" t="s">
        <v>151</v>
      </c>
      <c r="B5" s="4">
        <v>515240</v>
      </c>
      <c r="E5" s="3" t="s">
        <v>11</v>
      </c>
      <c r="F5" s="4">
        <v>5924478</v>
      </c>
      <c r="H5" s="3" t="s">
        <v>44</v>
      </c>
      <c r="I5" s="4">
        <v>2326280</v>
      </c>
    </row>
    <row r="6" spans="1:11" x14ac:dyDescent="0.35">
      <c r="A6" s="3" t="s">
        <v>152</v>
      </c>
      <c r="B6" s="4">
        <v>1137440</v>
      </c>
      <c r="E6" s="3" t="s">
        <v>39</v>
      </c>
      <c r="F6" s="4">
        <v>406050</v>
      </c>
      <c r="H6" s="3" t="s">
        <v>100</v>
      </c>
      <c r="I6" s="4">
        <v>2202920</v>
      </c>
    </row>
    <row r="7" spans="1:11" x14ac:dyDescent="0.35">
      <c r="A7" s="3" t="s">
        <v>153</v>
      </c>
      <c r="B7" s="4">
        <v>606730</v>
      </c>
      <c r="E7" s="3" t="s">
        <v>19</v>
      </c>
      <c r="F7" s="4">
        <v>961840</v>
      </c>
      <c r="H7" s="3" t="s">
        <v>13</v>
      </c>
      <c r="I7" s="4">
        <v>2581920</v>
      </c>
    </row>
    <row r="8" spans="1:11" x14ac:dyDescent="0.35">
      <c r="A8" s="3" t="s">
        <v>154</v>
      </c>
      <c r="B8" s="4">
        <v>889180</v>
      </c>
      <c r="E8" s="3" t="s">
        <v>29</v>
      </c>
      <c r="F8" s="4">
        <v>1292100</v>
      </c>
      <c r="H8" s="3" t="s">
        <v>72</v>
      </c>
      <c r="I8" s="4">
        <v>1473348</v>
      </c>
    </row>
    <row r="9" spans="1:11" x14ac:dyDescent="0.35">
      <c r="A9" s="3" t="s">
        <v>155</v>
      </c>
      <c r="B9" s="4">
        <v>264100</v>
      </c>
      <c r="E9" s="3" t="s">
        <v>149</v>
      </c>
      <c r="F9" s="4">
        <v>8584468</v>
      </c>
      <c r="H9" s="3" t="s">
        <v>149</v>
      </c>
      <c r="I9" s="4">
        <v>8584468</v>
      </c>
    </row>
    <row r="10" spans="1:11" x14ac:dyDescent="0.35">
      <c r="A10" s="3" t="s">
        <v>156</v>
      </c>
      <c r="B10" s="4">
        <v>467760</v>
      </c>
    </row>
    <row r="11" spans="1:11" x14ac:dyDescent="0.35">
      <c r="A11" s="3" t="s">
        <v>157</v>
      </c>
      <c r="B11" s="4">
        <v>1749660</v>
      </c>
    </row>
    <row r="12" spans="1:11" x14ac:dyDescent="0.35">
      <c r="A12" s="3" t="s">
        <v>158</v>
      </c>
      <c r="B12" s="4">
        <v>352010</v>
      </c>
    </row>
    <row r="13" spans="1:11" x14ac:dyDescent="0.35">
      <c r="A13" s="3" t="s">
        <v>159</v>
      </c>
      <c r="B13" s="4">
        <v>583348</v>
      </c>
      <c r="J13" t="s">
        <v>164</v>
      </c>
      <c r="K13">
        <f>SUM(product_sales[Net sales])</f>
        <v>8584468</v>
      </c>
    </row>
    <row r="14" spans="1:11" x14ac:dyDescent="0.35">
      <c r="A14" s="3" t="s">
        <v>160</v>
      </c>
      <c r="B14" s="4">
        <v>305500</v>
      </c>
      <c r="J14" t="s">
        <v>165</v>
      </c>
      <c r="K14">
        <f>AVERAGE(product_sales[Net sales])</f>
        <v>171689.36</v>
      </c>
    </row>
    <row r="15" spans="1:11" x14ac:dyDescent="0.35">
      <c r="A15" s="3" t="s">
        <v>161</v>
      </c>
      <c r="B15" s="4">
        <v>157980</v>
      </c>
      <c r="J15" t="s">
        <v>167</v>
      </c>
      <c r="K15">
        <f>MIN(sales_data!L30:L51)</f>
        <v>20250</v>
      </c>
    </row>
    <row r="16" spans="1:11" x14ac:dyDescent="0.35">
      <c r="A16" s="3" t="s">
        <v>149</v>
      </c>
      <c r="B16" s="4">
        <v>8584468</v>
      </c>
      <c r="J16" t="s">
        <v>168</v>
      </c>
      <c r="K16">
        <f>MAX(sales_data!L31:L51)</f>
        <v>844200</v>
      </c>
    </row>
    <row r="19" spans="1:2" x14ac:dyDescent="0.35">
      <c r="A19" s="2" t="s">
        <v>148</v>
      </c>
      <c r="B19" t="s">
        <v>166</v>
      </c>
    </row>
    <row r="20" spans="1:2" x14ac:dyDescent="0.35">
      <c r="A20" s="3" t="s">
        <v>11</v>
      </c>
      <c r="B20" s="4">
        <v>393</v>
      </c>
    </row>
    <row r="21" spans="1:2" x14ac:dyDescent="0.35">
      <c r="A21" s="3" t="s">
        <v>39</v>
      </c>
      <c r="B21" s="4">
        <v>297</v>
      </c>
    </row>
    <row r="22" spans="1:2" x14ac:dyDescent="0.35">
      <c r="A22" s="3" t="s">
        <v>19</v>
      </c>
      <c r="B22" s="4">
        <v>112</v>
      </c>
    </row>
    <row r="23" spans="1:2" x14ac:dyDescent="0.35">
      <c r="A23" s="3" t="s">
        <v>29</v>
      </c>
      <c r="B23" s="4">
        <v>154</v>
      </c>
    </row>
    <row r="24" spans="1:2" x14ac:dyDescent="0.35">
      <c r="A24" s="3" t="s">
        <v>149</v>
      </c>
      <c r="B24" s="4">
        <v>956</v>
      </c>
    </row>
  </sheetData>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8"/>
  <sheetViews>
    <sheetView tabSelected="1" zoomScale="75" zoomScaleNormal="61" workbookViewId="0">
      <selection activeCell="W5" sqref="W5"/>
    </sheetView>
  </sheetViews>
  <sheetFormatPr defaultRowHeight="14.5" x14ac:dyDescent="0.35"/>
  <sheetData>
    <row r="1" spans="1:21" x14ac:dyDescent="0.35">
      <c r="A1" s="5"/>
      <c r="B1" s="5"/>
      <c r="C1" s="5"/>
      <c r="D1" s="5"/>
      <c r="E1" s="5"/>
      <c r="F1" s="5"/>
      <c r="G1" s="5"/>
      <c r="H1" s="5"/>
      <c r="I1" s="5"/>
      <c r="J1" s="5"/>
      <c r="K1" s="5"/>
      <c r="L1" s="5"/>
      <c r="M1" s="5"/>
      <c r="N1" s="5"/>
      <c r="O1" s="5"/>
      <c r="P1" s="5"/>
      <c r="Q1" s="5"/>
      <c r="R1" s="5"/>
      <c r="S1" s="5"/>
      <c r="T1" s="5"/>
      <c r="U1" s="5"/>
    </row>
    <row r="2" spans="1:21" x14ac:dyDescent="0.35">
      <c r="A2" s="5"/>
      <c r="B2" s="5"/>
      <c r="C2" s="5"/>
      <c r="D2" s="5"/>
      <c r="E2" s="5"/>
      <c r="F2" s="5"/>
      <c r="G2" s="5"/>
      <c r="H2" s="5"/>
      <c r="I2" s="5"/>
      <c r="J2" s="5"/>
      <c r="K2" s="5"/>
      <c r="L2" s="5"/>
      <c r="M2" s="5"/>
      <c r="N2" s="5"/>
      <c r="O2" s="5"/>
      <c r="P2" s="5"/>
      <c r="Q2" s="5"/>
      <c r="R2" s="5"/>
      <c r="S2" s="5"/>
      <c r="T2" s="5"/>
      <c r="U2" s="5"/>
    </row>
    <row r="3" spans="1:21" x14ac:dyDescent="0.35">
      <c r="A3" s="5"/>
      <c r="B3" s="5"/>
      <c r="C3" s="5"/>
      <c r="D3" s="5"/>
      <c r="E3" s="5"/>
      <c r="F3" s="5"/>
      <c r="G3" s="5"/>
      <c r="H3" s="5"/>
      <c r="I3" s="5"/>
      <c r="J3" s="5"/>
      <c r="K3" s="5"/>
      <c r="L3" s="5"/>
      <c r="M3" s="5"/>
      <c r="N3" s="5"/>
      <c r="O3" s="5"/>
      <c r="P3" s="5"/>
      <c r="Q3" s="5"/>
      <c r="R3" s="5"/>
      <c r="S3" s="5"/>
      <c r="T3" s="5"/>
      <c r="U3" s="5"/>
    </row>
    <row r="4" spans="1:21" x14ac:dyDescent="0.35">
      <c r="A4" s="5"/>
      <c r="B4" s="5"/>
      <c r="C4" s="5"/>
      <c r="D4" s="5"/>
      <c r="E4" s="5"/>
      <c r="F4" s="5"/>
      <c r="G4" s="5"/>
      <c r="H4" s="5"/>
      <c r="I4" s="5"/>
      <c r="J4" s="5"/>
      <c r="K4" s="5"/>
      <c r="L4" s="5"/>
      <c r="M4" s="5"/>
      <c r="N4" s="5"/>
      <c r="O4" s="5"/>
      <c r="P4" s="5"/>
      <c r="Q4" s="5"/>
      <c r="R4" s="5"/>
      <c r="S4" s="5"/>
      <c r="T4" s="5"/>
      <c r="U4" s="5"/>
    </row>
    <row r="5" spans="1:21" x14ac:dyDescent="0.35">
      <c r="A5" s="5"/>
      <c r="B5" s="5"/>
      <c r="C5" s="5"/>
      <c r="D5" s="5"/>
      <c r="E5" s="5"/>
      <c r="F5" s="5"/>
      <c r="G5" s="5"/>
      <c r="H5" s="5"/>
      <c r="I5" s="5"/>
      <c r="J5" s="5"/>
      <c r="K5" s="5"/>
      <c r="L5" s="5"/>
      <c r="M5" s="5"/>
      <c r="N5" s="5"/>
      <c r="O5" s="5"/>
      <c r="P5" s="5"/>
      <c r="Q5" s="5"/>
      <c r="R5" s="5"/>
      <c r="S5" s="5"/>
      <c r="T5" s="5"/>
      <c r="U5" s="5"/>
    </row>
    <row r="6" spans="1:21" x14ac:dyDescent="0.35">
      <c r="A6" s="5"/>
      <c r="B6" s="5"/>
      <c r="C6" s="5"/>
      <c r="D6" s="5"/>
      <c r="E6" s="5"/>
      <c r="F6" s="5"/>
      <c r="G6" s="5"/>
      <c r="H6" s="5"/>
      <c r="I6" s="5"/>
      <c r="J6" s="5"/>
      <c r="K6" s="5"/>
      <c r="L6" s="5"/>
      <c r="M6" s="5"/>
      <c r="N6" s="5"/>
      <c r="O6" s="5"/>
      <c r="P6" s="5"/>
      <c r="Q6" s="5"/>
      <c r="R6" s="5"/>
      <c r="S6" s="5"/>
      <c r="T6" s="5"/>
      <c r="U6" s="5"/>
    </row>
    <row r="7" spans="1:21" x14ac:dyDescent="0.35">
      <c r="A7" s="5"/>
      <c r="B7" s="5"/>
      <c r="C7" s="5"/>
      <c r="D7" s="5"/>
      <c r="E7" s="5"/>
      <c r="F7" s="5"/>
      <c r="G7" s="5"/>
      <c r="H7" s="5"/>
      <c r="I7" s="5"/>
      <c r="J7" s="5"/>
      <c r="K7" s="5"/>
      <c r="L7" s="5"/>
      <c r="M7" s="5"/>
      <c r="N7" s="5"/>
      <c r="O7" s="5"/>
      <c r="P7" s="5"/>
      <c r="Q7" s="5"/>
      <c r="R7" s="5"/>
      <c r="S7" s="5"/>
      <c r="T7" s="5"/>
      <c r="U7" s="5"/>
    </row>
    <row r="8" spans="1:21" x14ac:dyDescent="0.35">
      <c r="A8" s="5"/>
      <c r="B8" s="5"/>
      <c r="C8" s="5"/>
      <c r="D8" s="5"/>
      <c r="E8" s="5"/>
      <c r="F8" s="5"/>
      <c r="G8" s="5"/>
      <c r="H8" s="5"/>
      <c r="I8" s="5"/>
      <c r="J8" s="5"/>
      <c r="K8" s="5"/>
      <c r="L8" s="5"/>
      <c r="M8" s="5"/>
      <c r="N8" s="5"/>
      <c r="O8" s="5"/>
      <c r="P8" s="5"/>
      <c r="Q8" s="5"/>
      <c r="R8" s="5"/>
      <c r="S8" s="5"/>
      <c r="T8" s="5"/>
      <c r="U8" s="5"/>
    </row>
    <row r="9" spans="1:21" x14ac:dyDescent="0.35">
      <c r="A9" s="5"/>
      <c r="B9" s="5"/>
      <c r="C9" s="5"/>
      <c r="D9" s="5"/>
      <c r="E9" s="5"/>
      <c r="F9" s="5"/>
      <c r="G9" s="5"/>
      <c r="H9" s="5"/>
      <c r="I9" s="5"/>
      <c r="J9" s="5"/>
      <c r="K9" s="5"/>
      <c r="L9" s="5"/>
      <c r="M9" s="5"/>
      <c r="N9" s="5"/>
      <c r="O9" s="5"/>
      <c r="P9" s="5"/>
      <c r="Q9" s="5"/>
      <c r="R9" s="5"/>
      <c r="S9" s="5"/>
      <c r="T9" s="5"/>
      <c r="U9" s="5"/>
    </row>
    <row r="10" spans="1:21" x14ac:dyDescent="0.35">
      <c r="A10" s="5"/>
      <c r="B10" s="5"/>
      <c r="C10" s="5"/>
      <c r="D10" s="5"/>
      <c r="E10" s="5"/>
      <c r="F10" s="5"/>
      <c r="G10" s="5"/>
      <c r="H10" s="5"/>
      <c r="I10" s="5"/>
      <c r="J10" s="5"/>
      <c r="K10" s="5"/>
      <c r="L10" s="5"/>
      <c r="M10" s="5"/>
      <c r="N10" s="5"/>
      <c r="O10" s="5"/>
      <c r="P10" s="5"/>
      <c r="Q10" s="5"/>
      <c r="R10" s="5"/>
      <c r="S10" s="5"/>
      <c r="T10" s="5"/>
      <c r="U10" s="5"/>
    </row>
    <row r="11" spans="1:21" x14ac:dyDescent="0.35">
      <c r="A11" s="5"/>
      <c r="B11" s="5"/>
      <c r="C11" s="5"/>
      <c r="D11" s="5"/>
      <c r="E11" s="5"/>
      <c r="F11" s="5"/>
      <c r="G11" s="5"/>
      <c r="H11" s="5"/>
      <c r="I11" s="5"/>
      <c r="J11" s="5"/>
      <c r="K11" s="5"/>
      <c r="L11" s="5"/>
      <c r="M11" s="5"/>
      <c r="N11" s="5"/>
      <c r="O11" s="5"/>
      <c r="P11" s="5"/>
      <c r="Q11" s="5"/>
      <c r="R11" s="5"/>
      <c r="S11" s="5"/>
      <c r="T11" s="5"/>
      <c r="U11" s="5"/>
    </row>
    <row r="12" spans="1:21" x14ac:dyDescent="0.35">
      <c r="A12" s="5"/>
      <c r="B12" s="5"/>
      <c r="C12" s="5"/>
      <c r="D12" s="5"/>
      <c r="E12" s="5"/>
      <c r="F12" s="5"/>
      <c r="G12" s="5"/>
      <c r="H12" s="5"/>
      <c r="I12" s="5"/>
      <c r="J12" s="5"/>
      <c r="K12" s="5"/>
      <c r="L12" s="5"/>
      <c r="M12" s="5"/>
      <c r="N12" s="5"/>
      <c r="O12" s="5"/>
      <c r="P12" s="5"/>
      <c r="Q12" s="5"/>
      <c r="R12" s="5"/>
      <c r="S12" s="5"/>
      <c r="T12" s="5"/>
      <c r="U12" s="5"/>
    </row>
    <row r="13" spans="1:21" x14ac:dyDescent="0.35">
      <c r="A13" s="5"/>
      <c r="B13" s="5"/>
      <c r="C13" s="5"/>
      <c r="D13" s="5"/>
      <c r="E13" s="5"/>
      <c r="F13" s="5"/>
      <c r="G13" s="5"/>
      <c r="H13" s="5"/>
      <c r="I13" s="5"/>
      <c r="J13" s="5"/>
      <c r="K13" s="5"/>
      <c r="L13" s="5"/>
      <c r="M13" s="5"/>
      <c r="N13" s="5"/>
      <c r="O13" s="5"/>
      <c r="P13" s="5"/>
      <c r="Q13" s="5"/>
      <c r="R13" s="5"/>
      <c r="S13" s="5"/>
      <c r="T13" s="5"/>
      <c r="U13" s="5"/>
    </row>
    <row r="14" spans="1:21" x14ac:dyDescent="0.35">
      <c r="A14" s="5"/>
      <c r="B14" s="5"/>
      <c r="C14" s="5"/>
      <c r="D14" s="5"/>
      <c r="E14" s="5"/>
      <c r="F14" s="5"/>
      <c r="G14" s="5"/>
      <c r="H14" s="5"/>
      <c r="I14" s="5"/>
      <c r="J14" s="5"/>
      <c r="K14" s="5"/>
      <c r="L14" s="5"/>
      <c r="M14" s="5"/>
      <c r="N14" s="5"/>
      <c r="O14" s="5"/>
      <c r="P14" s="5"/>
      <c r="Q14" s="5"/>
      <c r="R14" s="5"/>
      <c r="S14" s="5"/>
      <c r="T14" s="5"/>
      <c r="U14" s="5"/>
    </row>
    <row r="15" spans="1:21" x14ac:dyDescent="0.35">
      <c r="A15" s="5"/>
      <c r="B15" s="5"/>
      <c r="C15" s="5"/>
      <c r="D15" s="5"/>
      <c r="E15" s="5"/>
      <c r="F15" s="5"/>
      <c r="G15" s="5"/>
      <c r="H15" s="5"/>
      <c r="I15" s="5"/>
      <c r="J15" s="5"/>
      <c r="K15" s="5"/>
      <c r="L15" s="5"/>
      <c r="M15" s="5"/>
      <c r="N15" s="5"/>
      <c r="O15" s="5"/>
      <c r="P15" s="5"/>
      <c r="Q15" s="5"/>
      <c r="R15" s="5"/>
      <c r="S15" s="5"/>
      <c r="T15" s="5"/>
      <c r="U15" s="5"/>
    </row>
    <row r="16" spans="1:21" x14ac:dyDescent="0.35">
      <c r="A16" s="5"/>
      <c r="B16" s="5"/>
      <c r="C16" s="5"/>
      <c r="D16" s="5"/>
      <c r="E16" s="5"/>
      <c r="F16" s="5"/>
      <c r="G16" s="5"/>
      <c r="H16" s="5"/>
      <c r="I16" s="5"/>
      <c r="J16" s="5"/>
      <c r="K16" s="5"/>
      <c r="L16" s="5"/>
      <c r="M16" s="5"/>
      <c r="N16" s="5"/>
      <c r="O16" s="5"/>
      <c r="P16" s="5"/>
      <c r="Q16" s="5"/>
      <c r="R16" s="5"/>
      <c r="S16" s="5"/>
      <c r="T16" s="5"/>
      <c r="U16" s="5"/>
    </row>
    <row r="17" spans="1:21" x14ac:dyDescent="0.35">
      <c r="A17" s="5"/>
      <c r="B17" s="5"/>
      <c r="C17" s="5"/>
      <c r="D17" s="5"/>
      <c r="E17" s="5"/>
      <c r="F17" s="5"/>
      <c r="G17" s="5"/>
      <c r="H17" s="5"/>
      <c r="I17" s="5"/>
      <c r="J17" s="5"/>
      <c r="K17" s="5"/>
      <c r="L17" s="5"/>
      <c r="M17" s="5"/>
      <c r="N17" s="5"/>
      <c r="O17" s="5"/>
      <c r="P17" s="5"/>
      <c r="Q17" s="5"/>
      <c r="R17" s="5"/>
      <c r="S17" s="5"/>
      <c r="T17" s="5"/>
      <c r="U17" s="5"/>
    </row>
    <row r="18" spans="1:21" x14ac:dyDescent="0.35">
      <c r="A18" s="5"/>
      <c r="B18" s="5"/>
      <c r="C18" s="5"/>
      <c r="D18" s="5"/>
      <c r="E18" s="5"/>
      <c r="F18" s="5"/>
      <c r="G18" s="5"/>
      <c r="H18" s="5"/>
      <c r="I18" s="5"/>
      <c r="J18" s="5"/>
      <c r="K18" s="5"/>
      <c r="L18" s="5"/>
      <c r="M18" s="5"/>
      <c r="N18" s="5"/>
      <c r="O18" s="5"/>
      <c r="P18" s="5"/>
      <c r="Q18" s="5"/>
      <c r="R18" s="5"/>
      <c r="S18" s="5"/>
      <c r="T18" s="5"/>
      <c r="U18" s="5"/>
    </row>
    <row r="19" spans="1:21" x14ac:dyDescent="0.35">
      <c r="A19" s="5"/>
      <c r="B19" s="5"/>
      <c r="C19" s="5"/>
      <c r="D19" s="5"/>
      <c r="E19" s="5"/>
      <c r="F19" s="5"/>
      <c r="G19" s="5"/>
      <c r="H19" s="5"/>
      <c r="I19" s="5"/>
      <c r="J19" s="5"/>
      <c r="K19" s="5"/>
      <c r="L19" s="5"/>
      <c r="M19" s="5"/>
      <c r="N19" s="5"/>
      <c r="O19" s="5"/>
      <c r="P19" s="5"/>
      <c r="Q19" s="5"/>
      <c r="R19" s="5"/>
      <c r="S19" s="5"/>
      <c r="T19" s="5"/>
      <c r="U19" s="5"/>
    </row>
    <row r="20" spans="1:21" x14ac:dyDescent="0.35">
      <c r="A20" s="5"/>
      <c r="B20" s="5"/>
      <c r="C20" s="5"/>
      <c r="D20" s="5"/>
      <c r="E20" s="5"/>
      <c r="F20" s="5"/>
      <c r="G20" s="5"/>
      <c r="H20" s="5"/>
      <c r="I20" s="5"/>
      <c r="J20" s="5"/>
      <c r="K20" s="5"/>
      <c r="L20" s="5"/>
      <c r="M20" s="5"/>
      <c r="N20" s="5"/>
      <c r="O20" s="5"/>
      <c r="P20" s="5"/>
      <c r="Q20" s="5"/>
      <c r="R20" s="5"/>
      <c r="S20" s="5"/>
      <c r="T20" s="5"/>
      <c r="U20" s="5"/>
    </row>
    <row r="21" spans="1:21" x14ac:dyDescent="0.35">
      <c r="A21" s="5"/>
      <c r="B21" s="5"/>
      <c r="C21" s="5"/>
      <c r="D21" s="5"/>
      <c r="E21" s="5"/>
      <c r="F21" s="5"/>
      <c r="G21" s="5"/>
      <c r="H21" s="5"/>
      <c r="I21" s="5"/>
      <c r="J21" s="5"/>
      <c r="K21" s="5"/>
      <c r="L21" s="5"/>
      <c r="M21" s="5"/>
      <c r="N21" s="5"/>
      <c r="O21" s="5"/>
      <c r="P21" s="5"/>
      <c r="Q21" s="5"/>
      <c r="R21" s="5"/>
      <c r="S21" s="5"/>
      <c r="T21" s="5"/>
      <c r="U21" s="5"/>
    </row>
    <row r="22" spans="1:21" x14ac:dyDescent="0.35">
      <c r="A22" s="5"/>
      <c r="B22" s="5"/>
      <c r="C22" s="5"/>
      <c r="D22" s="5"/>
      <c r="E22" s="5"/>
      <c r="F22" s="5"/>
      <c r="G22" s="5"/>
      <c r="H22" s="5"/>
      <c r="I22" s="5"/>
      <c r="J22" s="5"/>
      <c r="K22" s="5"/>
      <c r="L22" s="5"/>
      <c r="M22" s="5"/>
      <c r="N22" s="5"/>
      <c r="O22" s="5"/>
      <c r="P22" s="5"/>
      <c r="Q22" s="5"/>
      <c r="R22" s="5"/>
      <c r="S22" s="5"/>
      <c r="T22" s="5"/>
      <c r="U22" s="5"/>
    </row>
    <row r="23" spans="1:21" x14ac:dyDescent="0.35">
      <c r="A23" s="5"/>
      <c r="B23" s="5"/>
      <c r="C23" s="5"/>
      <c r="D23" s="5"/>
      <c r="E23" s="5"/>
      <c r="F23" s="5"/>
      <c r="G23" s="5"/>
      <c r="H23" s="5"/>
      <c r="I23" s="5"/>
      <c r="J23" s="5"/>
      <c r="K23" s="5"/>
      <c r="L23" s="5"/>
      <c r="M23" s="5"/>
      <c r="N23" s="5"/>
      <c r="O23" s="5"/>
      <c r="P23" s="5"/>
      <c r="Q23" s="5"/>
      <c r="R23" s="5"/>
      <c r="S23" s="5"/>
      <c r="T23" s="5"/>
      <c r="U23" s="5"/>
    </row>
    <row r="24" spans="1:21" x14ac:dyDescent="0.35">
      <c r="A24" s="5"/>
      <c r="B24" s="5"/>
      <c r="C24" s="5"/>
      <c r="D24" s="5"/>
      <c r="E24" s="5"/>
      <c r="F24" s="5"/>
      <c r="G24" s="5"/>
      <c r="H24" s="5"/>
      <c r="I24" s="5"/>
      <c r="J24" s="5"/>
      <c r="K24" s="5"/>
      <c r="L24" s="5"/>
      <c r="M24" s="5"/>
      <c r="N24" s="5"/>
      <c r="O24" s="5"/>
      <c r="P24" s="5"/>
      <c r="Q24" s="5"/>
      <c r="R24" s="5"/>
      <c r="S24" s="5"/>
      <c r="T24" s="5"/>
      <c r="U24" s="5"/>
    </row>
    <row r="25" spans="1:21" x14ac:dyDescent="0.35">
      <c r="A25" s="5"/>
      <c r="B25" s="5"/>
      <c r="C25" s="5"/>
      <c r="D25" s="5"/>
      <c r="E25" s="5"/>
      <c r="F25" s="5"/>
      <c r="G25" s="5"/>
      <c r="H25" s="5"/>
      <c r="I25" s="5"/>
      <c r="J25" s="5"/>
      <c r="K25" s="5"/>
      <c r="L25" s="5"/>
      <c r="M25" s="5"/>
      <c r="N25" s="5"/>
      <c r="O25" s="5"/>
      <c r="P25" s="5"/>
      <c r="Q25" s="5"/>
      <c r="R25" s="5"/>
      <c r="S25" s="5"/>
      <c r="T25" s="5"/>
      <c r="U25" s="5"/>
    </row>
    <row r="26" spans="1:21" x14ac:dyDescent="0.35">
      <c r="A26" s="5"/>
      <c r="B26" s="5"/>
      <c r="C26" s="5"/>
      <c r="D26" s="5"/>
      <c r="E26" s="5"/>
      <c r="F26" s="5"/>
      <c r="G26" s="5"/>
      <c r="H26" s="5"/>
      <c r="I26" s="5"/>
      <c r="J26" s="5"/>
      <c r="K26" s="5"/>
      <c r="L26" s="5"/>
      <c r="M26" s="5"/>
      <c r="N26" s="5"/>
      <c r="O26" s="5"/>
      <c r="P26" s="5"/>
      <c r="Q26" s="5"/>
      <c r="R26" s="5"/>
      <c r="S26" s="5"/>
      <c r="T26" s="5"/>
      <c r="U26" s="5"/>
    </row>
    <row r="27" spans="1:21" x14ac:dyDescent="0.35">
      <c r="A27" s="5"/>
      <c r="B27" s="5"/>
      <c r="C27" s="5"/>
      <c r="D27" s="5"/>
      <c r="E27" s="5"/>
      <c r="F27" s="5"/>
      <c r="G27" s="5"/>
      <c r="H27" s="5"/>
      <c r="I27" s="5"/>
      <c r="J27" s="5"/>
      <c r="K27" s="5"/>
      <c r="L27" s="5"/>
      <c r="M27" s="5"/>
      <c r="N27" s="5"/>
      <c r="O27" s="5"/>
      <c r="P27" s="5"/>
      <c r="Q27" s="5"/>
      <c r="R27" s="5"/>
      <c r="S27" s="5"/>
      <c r="T27" s="5"/>
      <c r="U27" s="5"/>
    </row>
    <row r="28" spans="1:21" x14ac:dyDescent="0.35">
      <c r="A28" s="5"/>
      <c r="B28" s="5"/>
      <c r="C28" s="5"/>
      <c r="D28" s="5"/>
      <c r="E28" s="5"/>
      <c r="F28" s="5"/>
      <c r="G28" s="5"/>
      <c r="H28" s="5"/>
      <c r="I28" s="5"/>
      <c r="J28" s="5"/>
      <c r="K28" s="5"/>
      <c r="L28" s="5"/>
      <c r="M28" s="5"/>
      <c r="N28" s="5"/>
      <c r="O28" s="5"/>
      <c r="P28" s="5"/>
      <c r="Q28" s="5"/>
      <c r="R28" s="5"/>
      <c r="S28" s="5"/>
      <c r="T28" s="5"/>
      <c r="U28" s="5"/>
    </row>
    <row r="29" spans="1:21" x14ac:dyDescent="0.35">
      <c r="A29" s="5"/>
      <c r="B29" s="5"/>
      <c r="C29" s="5"/>
      <c r="D29" s="5"/>
      <c r="E29" s="5"/>
      <c r="F29" s="5"/>
      <c r="G29" s="5"/>
      <c r="H29" s="5"/>
      <c r="I29" s="5"/>
      <c r="J29" s="5"/>
      <c r="K29" s="5"/>
      <c r="L29" s="5"/>
      <c r="M29" s="5"/>
      <c r="N29" s="5"/>
      <c r="O29" s="5"/>
      <c r="P29" s="5"/>
      <c r="Q29" s="5"/>
      <c r="R29" s="5"/>
      <c r="S29" s="5"/>
      <c r="T29" s="5"/>
      <c r="U29" s="5"/>
    </row>
    <row r="30" spans="1:21" x14ac:dyDescent="0.35">
      <c r="A30" s="5"/>
      <c r="B30" s="5"/>
      <c r="C30" s="5"/>
      <c r="D30" s="5"/>
      <c r="E30" s="5"/>
      <c r="F30" s="5"/>
      <c r="G30" s="5"/>
      <c r="H30" s="5"/>
      <c r="I30" s="5"/>
      <c r="J30" s="5"/>
      <c r="K30" s="5"/>
      <c r="L30" s="5"/>
      <c r="M30" s="5"/>
      <c r="N30" s="5"/>
      <c r="O30" s="5"/>
      <c r="P30" s="5"/>
      <c r="Q30" s="5"/>
      <c r="R30" s="5"/>
      <c r="S30" s="5"/>
      <c r="T30" s="5"/>
      <c r="U30" s="5"/>
    </row>
    <row r="31" spans="1:21" x14ac:dyDescent="0.35">
      <c r="A31" s="5"/>
      <c r="B31" s="5"/>
      <c r="C31" s="5"/>
      <c r="D31" s="5"/>
      <c r="E31" s="5"/>
      <c r="F31" s="5"/>
      <c r="G31" s="5"/>
      <c r="H31" s="5"/>
      <c r="I31" s="5"/>
      <c r="J31" s="5"/>
      <c r="K31" s="5"/>
      <c r="L31" s="5"/>
      <c r="M31" s="5"/>
      <c r="N31" s="5"/>
      <c r="O31" s="5"/>
      <c r="P31" s="5"/>
      <c r="Q31" s="5"/>
      <c r="R31" s="5"/>
      <c r="S31" s="5"/>
      <c r="T31" s="5"/>
      <c r="U31" s="5"/>
    </row>
    <row r="32" spans="1:21" x14ac:dyDescent="0.35">
      <c r="A32" s="5"/>
      <c r="B32" s="5"/>
      <c r="C32" s="5"/>
      <c r="D32" s="5"/>
      <c r="E32" s="5"/>
      <c r="F32" s="5"/>
      <c r="G32" s="5"/>
      <c r="H32" s="5"/>
      <c r="I32" s="5"/>
      <c r="J32" s="5"/>
      <c r="K32" s="5"/>
      <c r="L32" s="5"/>
      <c r="M32" s="5"/>
      <c r="N32" s="5"/>
      <c r="O32" s="5"/>
      <c r="P32" s="5"/>
      <c r="Q32" s="5"/>
      <c r="R32" s="5"/>
      <c r="S32" s="5"/>
      <c r="T32" s="5"/>
      <c r="U32" s="5"/>
    </row>
    <row r="33" spans="1:21" x14ac:dyDescent="0.35">
      <c r="A33" s="5"/>
      <c r="B33" s="5"/>
      <c r="C33" s="5"/>
      <c r="D33" s="5"/>
      <c r="E33" s="5"/>
      <c r="F33" s="5"/>
      <c r="G33" s="5"/>
      <c r="H33" s="5"/>
      <c r="I33" s="5"/>
      <c r="J33" s="5"/>
      <c r="K33" s="5"/>
      <c r="L33" s="5"/>
      <c r="M33" s="5"/>
      <c r="N33" s="5"/>
      <c r="O33" s="5"/>
      <c r="P33" s="5"/>
      <c r="Q33" s="5"/>
      <c r="R33" s="5"/>
      <c r="S33" s="5"/>
      <c r="T33" s="5"/>
      <c r="U33" s="5"/>
    </row>
    <row r="34" spans="1:21" x14ac:dyDescent="0.35">
      <c r="A34" s="5"/>
      <c r="B34" s="5"/>
      <c r="C34" s="5"/>
      <c r="D34" s="5"/>
      <c r="E34" s="5"/>
      <c r="F34" s="5"/>
      <c r="G34" s="5"/>
      <c r="H34" s="5"/>
      <c r="I34" s="5"/>
      <c r="J34" s="5"/>
      <c r="K34" s="5"/>
      <c r="L34" s="5"/>
      <c r="M34" s="5"/>
      <c r="N34" s="5"/>
      <c r="O34" s="5"/>
      <c r="P34" s="5"/>
      <c r="Q34" s="5"/>
      <c r="R34" s="5"/>
      <c r="S34" s="5"/>
      <c r="T34" s="5"/>
      <c r="U34" s="5"/>
    </row>
    <row r="35" spans="1:21" x14ac:dyDescent="0.35">
      <c r="A35" s="5"/>
      <c r="B35" s="5"/>
      <c r="C35" s="5"/>
      <c r="D35" s="5"/>
      <c r="E35" s="5"/>
      <c r="F35" s="5"/>
      <c r="G35" s="5"/>
      <c r="H35" s="5"/>
      <c r="I35" s="5"/>
      <c r="J35" s="5"/>
      <c r="K35" s="5"/>
      <c r="L35" s="5"/>
      <c r="M35" s="5"/>
      <c r="N35" s="5"/>
      <c r="O35" s="5"/>
      <c r="P35" s="5"/>
      <c r="Q35" s="5"/>
      <c r="R35" s="5"/>
      <c r="S35" s="5"/>
      <c r="T35" s="5"/>
      <c r="U35" s="5"/>
    </row>
    <row r="36" spans="1:21" x14ac:dyDescent="0.35">
      <c r="A36" s="5"/>
      <c r="B36" s="5"/>
      <c r="C36" s="5"/>
      <c r="D36" s="5"/>
      <c r="E36" s="5"/>
      <c r="F36" s="5"/>
      <c r="G36" s="5"/>
      <c r="H36" s="5"/>
      <c r="I36" s="5"/>
      <c r="J36" s="5"/>
      <c r="K36" s="5"/>
      <c r="L36" s="5"/>
      <c r="M36" s="5"/>
      <c r="N36" s="5"/>
      <c r="O36" s="5"/>
      <c r="P36" s="5"/>
      <c r="Q36" s="5"/>
      <c r="R36" s="5"/>
      <c r="S36" s="5"/>
      <c r="T36" s="5"/>
      <c r="U36" s="5"/>
    </row>
    <row r="37" spans="1:21" x14ac:dyDescent="0.35">
      <c r="A37" s="5"/>
      <c r="B37" s="5"/>
      <c r="C37" s="5"/>
      <c r="D37" s="5"/>
      <c r="E37" s="5"/>
      <c r="F37" s="5"/>
      <c r="G37" s="5"/>
      <c r="H37" s="5"/>
      <c r="I37" s="5"/>
      <c r="J37" s="5"/>
      <c r="K37" s="5"/>
      <c r="L37" s="5"/>
      <c r="M37" s="5"/>
      <c r="N37" s="5"/>
      <c r="O37" s="5"/>
      <c r="P37" s="5"/>
      <c r="Q37" s="5"/>
      <c r="R37" s="5"/>
      <c r="S37" s="5"/>
      <c r="T37" s="5"/>
      <c r="U37" s="5"/>
    </row>
    <row r="38" spans="1:21" x14ac:dyDescent="0.35">
      <c r="A38" s="5"/>
      <c r="B38" s="5"/>
      <c r="C38" s="5"/>
      <c r="D38" s="5"/>
      <c r="E38" s="5"/>
      <c r="F38" s="5"/>
      <c r="G38" s="5"/>
      <c r="H38" s="5"/>
      <c r="I38" s="5"/>
      <c r="J38" s="5"/>
      <c r="K38" s="5"/>
      <c r="L38" s="5"/>
      <c r="M38" s="5"/>
      <c r="N38" s="5"/>
      <c r="O38" s="5"/>
      <c r="P38" s="5"/>
      <c r="Q38" s="5"/>
      <c r="R38" s="5"/>
      <c r="S38" s="5"/>
      <c r="T38" s="5"/>
      <c r="U38" s="5"/>
    </row>
    <row r="39" spans="1:21" x14ac:dyDescent="0.35">
      <c r="A39" s="5"/>
      <c r="B39" s="5"/>
      <c r="C39" s="5"/>
      <c r="D39" s="5"/>
      <c r="E39" s="5"/>
      <c r="F39" s="5"/>
      <c r="G39" s="5"/>
      <c r="H39" s="5"/>
      <c r="I39" s="5"/>
      <c r="J39" s="5"/>
      <c r="K39" s="5"/>
      <c r="L39" s="5"/>
      <c r="M39" s="5"/>
      <c r="N39" s="5"/>
      <c r="O39" s="5"/>
      <c r="P39" s="5"/>
      <c r="Q39" s="5"/>
      <c r="R39" s="5"/>
      <c r="S39" s="5"/>
      <c r="T39" s="5"/>
      <c r="U39" s="5"/>
    </row>
    <row r="40" spans="1:21" x14ac:dyDescent="0.35">
      <c r="A40" s="5"/>
      <c r="B40" s="5"/>
      <c r="C40" s="5"/>
      <c r="D40" s="5"/>
      <c r="E40" s="5"/>
      <c r="F40" s="5"/>
      <c r="G40" s="5"/>
      <c r="H40" s="5"/>
      <c r="I40" s="5"/>
      <c r="J40" s="5"/>
      <c r="K40" s="5"/>
      <c r="L40" s="5"/>
      <c r="M40" s="5"/>
      <c r="N40" s="5"/>
      <c r="O40" s="5"/>
      <c r="P40" s="5"/>
      <c r="Q40" s="5"/>
      <c r="R40" s="5"/>
      <c r="S40" s="5"/>
      <c r="T40" s="5"/>
      <c r="U40" s="5"/>
    </row>
    <row r="41" spans="1:21" x14ac:dyDescent="0.35">
      <c r="A41" s="5"/>
      <c r="B41" s="5"/>
      <c r="C41" s="5"/>
      <c r="D41" s="5"/>
      <c r="E41" s="5"/>
      <c r="F41" s="5"/>
      <c r="G41" s="5"/>
      <c r="H41" s="5"/>
      <c r="I41" s="5"/>
      <c r="J41" s="5"/>
      <c r="K41" s="5"/>
      <c r="L41" s="5"/>
      <c r="M41" s="5"/>
      <c r="N41" s="5"/>
      <c r="O41" s="5"/>
      <c r="P41" s="5"/>
      <c r="Q41" s="5"/>
      <c r="R41" s="5"/>
      <c r="S41" s="5"/>
      <c r="T41" s="5"/>
      <c r="U41" s="5"/>
    </row>
    <row r="42" spans="1:21" x14ac:dyDescent="0.35">
      <c r="A42" s="5"/>
      <c r="B42" s="5"/>
      <c r="C42" s="5"/>
      <c r="D42" s="5"/>
      <c r="E42" s="5"/>
      <c r="F42" s="5"/>
      <c r="G42" s="5"/>
      <c r="H42" s="5"/>
      <c r="I42" s="5"/>
      <c r="J42" s="5"/>
      <c r="K42" s="5"/>
      <c r="L42" s="5"/>
      <c r="M42" s="5"/>
      <c r="N42" s="5"/>
      <c r="O42" s="5"/>
      <c r="P42" s="5"/>
      <c r="Q42" s="5"/>
      <c r="R42" s="5"/>
      <c r="S42" s="5"/>
      <c r="T42" s="5"/>
      <c r="U42" s="5"/>
    </row>
    <row r="43" spans="1:21" x14ac:dyDescent="0.35">
      <c r="A43" s="5"/>
      <c r="B43" s="5"/>
      <c r="C43" s="5"/>
      <c r="D43" s="5"/>
      <c r="E43" s="5"/>
      <c r="F43" s="5"/>
      <c r="G43" s="5"/>
      <c r="H43" s="5"/>
      <c r="I43" s="5"/>
      <c r="J43" s="5"/>
      <c r="K43" s="5"/>
      <c r="L43" s="5"/>
      <c r="M43" s="5"/>
      <c r="N43" s="5"/>
      <c r="O43" s="5"/>
      <c r="P43" s="5"/>
      <c r="Q43" s="5"/>
      <c r="R43" s="5"/>
      <c r="S43" s="5"/>
      <c r="T43" s="5"/>
      <c r="U43" s="5"/>
    </row>
    <row r="44" spans="1:21" x14ac:dyDescent="0.35">
      <c r="A44" s="5"/>
      <c r="B44" s="5"/>
      <c r="C44" s="5"/>
      <c r="D44" s="5"/>
      <c r="E44" s="5"/>
      <c r="F44" s="5"/>
      <c r="G44" s="5"/>
      <c r="H44" s="5"/>
      <c r="I44" s="5"/>
      <c r="J44" s="5"/>
      <c r="K44" s="5"/>
      <c r="L44" s="5"/>
      <c r="M44" s="5"/>
      <c r="N44" s="5"/>
      <c r="O44" s="5"/>
      <c r="P44" s="5"/>
      <c r="Q44" s="5"/>
      <c r="R44" s="5"/>
      <c r="S44" s="5"/>
      <c r="T44" s="5"/>
      <c r="U44" s="5"/>
    </row>
    <row r="45" spans="1:21" x14ac:dyDescent="0.35">
      <c r="A45" s="5"/>
      <c r="B45" s="5"/>
      <c r="C45" s="5"/>
      <c r="D45" s="5"/>
      <c r="E45" s="5"/>
      <c r="F45" s="5"/>
      <c r="G45" s="5"/>
      <c r="H45" s="5"/>
      <c r="I45" s="5"/>
      <c r="J45" s="5"/>
      <c r="K45" s="5"/>
      <c r="L45" s="5"/>
      <c r="M45" s="5"/>
      <c r="N45" s="5"/>
      <c r="O45" s="5"/>
      <c r="P45" s="5"/>
      <c r="Q45" s="5"/>
      <c r="R45" s="5"/>
      <c r="S45" s="5"/>
      <c r="T45" s="5"/>
      <c r="U45" s="5"/>
    </row>
    <row r="46" spans="1:21" x14ac:dyDescent="0.35">
      <c r="A46" s="5"/>
      <c r="B46" s="5"/>
      <c r="C46" s="5"/>
      <c r="D46" s="5"/>
      <c r="E46" s="5"/>
      <c r="F46" s="5"/>
      <c r="G46" s="5"/>
      <c r="H46" s="5"/>
      <c r="I46" s="5"/>
      <c r="J46" s="5"/>
      <c r="K46" s="5"/>
      <c r="L46" s="5"/>
      <c r="M46" s="5"/>
      <c r="N46" s="5"/>
      <c r="O46" s="5"/>
      <c r="P46" s="5"/>
      <c r="Q46" s="5"/>
      <c r="R46" s="5"/>
      <c r="S46" s="5"/>
      <c r="T46" s="5"/>
      <c r="U46" s="5"/>
    </row>
    <row r="47" spans="1:21" x14ac:dyDescent="0.35">
      <c r="A47" s="5"/>
      <c r="B47" s="5"/>
      <c r="C47" s="5"/>
      <c r="D47" s="5"/>
      <c r="E47" s="5"/>
      <c r="F47" s="5"/>
      <c r="G47" s="5"/>
      <c r="H47" s="5"/>
      <c r="I47" s="5"/>
      <c r="J47" s="5"/>
      <c r="K47" s="5"/>
      <c r="L47" s="5"/>
      <c r="M47" s="5"/>
      <c r="N47" s="5"/>
      <c r="O47" s="5"/>
      <c r="P47" s="5"/>
      <c r="Q47" s="5"/>
      <c r="R47" s="5"/>
      <c r="S47" s="5"/>
      <c r="T47" s="5"/>
      <c r="U47" s="5"/>
    </row>
    <row r="48" spans="1:21" x14ac:dyDescent="0.35">
      <c r="A48" s="5"/>
      <c r="B48" s="5"/>
      <c r="C48" s="5"/>
      <c r="D48" s="5"/>
      <c r="E48" s="5"/>
      <c r="F48" s="5"/>
      <c r="G48" s="5"/>
      <c r="H48" s="5"/>
      <c r="I48" s="5"/>
      <c r="J48" s="5"/>
      <c r="K48" s="5"/>
      <c r="L48" s="5"/>
      <c r="M48" s="5"/>
      <c r="N48" s="5"/>
      <c r="O48" s="5"/>
      <c r="P48" s="5"/>
      <c r="Q48" s="5"/>
      <c r="R48" s="5"/>
      <c r="S48" s="5"/>
      <c r="T48" s="5"/>
      <c r="U48" s="5"/>
    </row>
    <row r="49" spans="1:21" x14ac:dyDescent="0.35">
      <c r="A49" s="5"/>
      <c r="B49" s="5"/>
      <c r="C49" s="5"/>
      <c r="D49" s="5"/>
      <c r="E49" s="5"/>
      <c r="F49" s="5"/>
      <c r="G49" s="5"/>
      <c r="H49" s="5"/>
      <c r="I49" s="5"/>
      <c r="J49" s="5"/>
      <c r="K49" s="5"/>
      <c r="L49" s="5"/>
      <c r="M49" s="5"/>
      <c r="N49" s="5"/>
      <c r="O49" s="5"/>
      <c r="P49" s="5"/>
      <c r="Q49" s="5"/>
      <c r="R49" s="5"/>
      <c r="S49" s="5"/>
      <c r="T49" s="5"/>
      <c r="U49" s="5"/>
    </row>
    <row r="50" spans="1:21" x14ac:dyDescent="0.35">
      <c r="A50" s="5"/>
      <c r="B50" s="5"/>
      <c r="C50" s="5"/>
      <c r="D50" s="5"/>
      <c r="E50" s="5"/>
      <c r="F50" s="5"/>
      <c r="G50" s="5"/>
      <c r="H50" s="5"/>
      <c r="I50" s="5"/>
      <c r="J50" s="5"/>
      <c r="K50" s="5"/>
      <c r="L50" s="5"/>
      <c r="M50" s="5"/>
      <c r="N50" s="5"/>
      <c r="O50" s="5"/>
      <c r="P50" s="5"/>
      <c r="Q50" s="5"/>
      <c r="R50" s="5"/>
      <c r="S50" s="5"/>
      <c r="T50" s="5"/>
      <c r="U50" s="5"/>
    </row>
    <row r="51" spans="1:21" x14ac:dyDescent="0.35">
      <c r="A51" s="5"/>
      <c r="B51" s="5"/>
      <c r="C51" s="5"/>
      <c r="D51" s="5"/>
      <c r="E51" s="5"/>
      <c r="F51" s="5"/>
      <c r="G51" s="5"/>
      <c r="H51" s="5"/>
      <c r="I51" s="5"/>
      <c r="J51" s="5"/>
      <c r="K51" s="5"/>
      <c r="L51" s="5"/>
      <c r="M51" s="5"/>
      <c r="N51" s="5"/>
      <c r="O51" s="5"/>
      <c r="P51" s="5"/>
      <c r="Q51" s="5"/>
      <c r="R51" s="5"/>
      <c r="S51" s="5"/>
      <c r="T51" s="5"/>
      <c r="U51" s="5"/>
    </row>
    <row r="52" spans="1:21" x14ac:dyDescent="0.35">
      <c r="A52" s="5"/>
      <c r="B52" s="5"/>
      <c r="C52" s="5"/>
      <c r="D52" s="5"/>
      <c r="E52" s="5"/>
      <c r="F52" s="5"/>
      <c r="G52" s="5"/>
      <c r="H52" s="5"/>
      <c r="I52" s="5"/>
      <c r="J52" s="5"/>
      <c r="K52" s="5"/>
      <c r="L52" s="5"/>
      <c r="M52" s="5"/>
      <c r="N52" s="5"/>
      <c r="O52" s="5"/>
      <c r="P52" s="5"/>
      <c r="Q52" s="5"/>
      <c r="R52" s="5"/>
      <c r="S52" s="5"/>
      <c r="T52" s="5"/>
      <c r="U52" s="5"/>
    </row>
    <row r="53" spans="1:21" x14ac:dyDescent="0.35">
      <c r="A53" s="5"/>
      <c r="B53" s="5"/>
      <c r="C53" s="5"/>
      <c r="D53" s="5"/>
      <c r="E53" s="5"/>
      <c r="F53" s="5"/>
      <c r="G53" s="5"/>
      <c r="H53" s="5"/>
      <c r="I53" s="5"/>
      <c r="J53" s="5"/>
      <c r="K53" s="5"/>
      <c r="L53" s="5"/>
      <c r="M53" s="5"/>
      <c r="N53" s="5"/>
      <c r="O53" s="5"/>
      <c r="P53" s="5"/>
      <c r="Q53" s="5"/>
      <c r="R53" s="5"/>
      <c r="S53" s="5"/>
      <c r="T53" s="5"/>
      <c r="U53" s="5"/>
    </row>
    <row r="54" spans="1:21" x14ac:dyDescent="0.35">
      <c r="A54" s="5"/>
      <c r="B54" s="5"/>
      <c r="C54" s="5"/>
      <c r="D54" s="5"/>
      <c r="E54" s="5"/>
      <c r="F54" s="5"/>
      <c r="G54" s="5"/>
      <c r="H54" s="5"/>
      <c r="I54" s="5"/>
      <c r="J54" s="5"/>
      <c r="K54" s="5"/>
      <c r="L54" s="5"/>
      <c r="M54" s="5"/>
      <c r="N54" s="5"/>
      <c r="O54" s="5"/>
      <c r="P54" s="5"/>
      <c r="Q54" s="5"/>
      <c r="R54" s="5"/>
      <c r="S54" s="5"/>
      <c r="T54" s="5"/>
      <c r="U54" s="5"/>
    </row>
    <row r="55" spans="1:21" x14ac:dyDescent="0.35">
      <c r="A55" s="5"/>
      <c r="B55" s="5"/>
      <c r="C55" s="5"/>
      <c r="D55" s="5"/>
      <c r="E55" s="5"/>
      <c r="F55" s="5"/>
      <c r="G55" s="5"/>
      <c r="H55" s="5"/>
      <c r="I55" s="5"/>
      <c r="J55" s="5"/>
      <c r="K55" s="5"/>
      <c r="L55" s="5"/>
      <c r="M55" s="5"/>
      <c r="N55" s="5"/>
      <c r="O55" s="5"/>
      <c r="P55" s="5"/>
      <c r="Q55" s="5"/>
      <c r="R55" s="5"/>
      <c r="S55" s="5"/>
      <c r="T55" s="5"/>
      <c r="U55" s="5"/>
    </row>
    <row r="56" spans="1:21" x14ac:dyDescent="0.35">
      <c r="A56" s="5"/>
      <c r="B56" s="5"/>
      <c r="C56" s="5"/>
      <c r="D56" s="5"/>
      <c r="E56" s="5"/>
      <c r="F56" s="5"/>
      <c r="G56" s="5"/>
      <c r="H56" s="5"/>
      <c r="I56" s="5"/>
      <c r="J56" s="5"/>
      <c r="K56" s="5"/>
      <c r="L56" s="5"/>
      <c r="M56" s="5"/>
      <c r="N56" s="5"/>
      <c r="O56" s="5"/>
      <c r="P56" s="5"/>
      <c r="Q56" s="5"/>
      <c r="R56" s="5"/>
      <c r="S56" s="5"/>
      <c r="T56" s="5"/>
      <c r="U56" s="5"/>
    </row>
    <row r="57" spans="1:21" x14ac:dyDescent="0.35">
      <c r="A57" s="5"/>
      <c r="B57" s="5"/>
      <c r="C57" s="5"/>
      <c r="D57" s="5"/>
      <c r="E57" s="5"/>
      <c r="F57" s="5"/>
      <c r="G57" s="5"/>
      <c r="H57" s="5"/>
      <c r="I57" s="5"/>
      <c r="J57" s="5"/>
      <c r="K57" s="5"/>
      <c r="L57" s="5"/>
      <c r="M57" s="5"/>
      <c r="N57" s="5"/>
      <c r="O57" s="5"/>
      <c r="P57" s="5"/>
      <c r="Q57" s="5"/>
      <c r="R57" s="5"/>
      <c r="S57" s="5"/>
      <c r="T57" s="5"/>
      <c r="U57" s="5"/>
    </row>
    <row r="58" spans="1:21" x14ac:dyDescent="0.35">
      <c r="A58" s="5"/>
      <c r="B58" s="5"/>
      <c r="C58" s="5"/>
      <c r="D58" s="5"/>
      <c r="E58" s="5"/>
      <c r="F58" s="5"/>
      <c r="G58" s="5"/>
      <c r="H58" s="5"/>
      <c r="I58" s="5"/>
      <c r="J58" s="5"/>
      <c r="K58" s="5"/>
      <c r="L58" s="5"/>
      <c r="M58" s="5"/>
      <c r="N58" s="5"/>
      <c r="O58" s="5"/>
      <c r="P58" s="5"/>
      <c r="Q58" s="5"/>
      <c r="R58" s="5"/>
      <c r="S58" s="5"/>
      <c r="T58" s="5"/>
      <c r="U58" s="5"/>
    </row>
    <row r="59" spans="1:21" x14ac:dyDescent="0.35">
      <c r="A59" s="5"/>
      <c r="B59" s="5"/>
      <c r="C59" s="5"/>
      <c r="D59" s="5"/>
      <c r="E59" s="5"/>
      <c r="F59" s="5"/>
      <c r="G59" s="5"/>
      <c r="H59" s="5"/>
      <c r="I59" s="5"/>
      <c r="J59" s="5"/>
      <c r="K59" s="5"/>
      <c r="L59" s="5"/>
      <c r="M59" s="5"/>
      <c r="N59" s="5"/>
      <c r="O59" s="5"/>
      <c r="P59" s="5"/>
      <c r="Q59" s="5"/>
      <c r="R59" s="5"/>
      <c r="S59" s="5"/>
      <c r="T59" s="5"/>
      <c r="U59" s="5"/>
    </row>
    <row r="60" spans="1:21" x14ac:dyDescent="0.35">
      <c r="A60" s="5"/>
      <c r="B60" s="5"/>
      <c r="C60" s="5"/>
      <c r="D60" s="5"/>
      <c r="E60" s="5"/>
      <c r="F60" s="5"/>
      <c r="G60" s="5"/>
      <c r="H60" s="5"/>
      <c r="I60" s="5"/>
      <c r="J60" s="5"/>
      <c r="K60" s="5"/>
      <c r="L60" s="5"/>
      <c r="M60" s="5"/>
      <c r="N60" s="5"/>
      <c r="O60" s="5"/>
      <c r="P60" s="5"/>
      <c r="Q60" s="5"/>
      <c r="R60" s="5"/>
      <c r="S60" s="5"/>
      <c r="T60" s="5"/>
      <c r="U60" s="5"/>
    </row>
    <row r="61" spans="1:21" x14ac:dyDescent="0.35">
      <c r="A61" s="5"/>
      <c r="B61" s="5"/>
      <c r="C61" s="5"/>
      <c r="D61" s="5"/>
      <c r="E61" s="5"/>
      <c r="F61" s="5"/>
      <c r="G61" s="5"/>
      <c r="H61" s="5"/>
      <c r="I61" s="5"/>
      <c r="J61" s="5"/>
      <c r="K61" s="5"/>
      <c r="L61" s="5"/>
      <c r="M61" s="5"/>
      <c r="N61" s="5"/>
      <c r="O61" s="5"/>
      <c r="P61" s="5"/>
      <c r="Q61" s="5"/>
      <c r="R61" s="5"/>
      <c r="S61" s="5"/>
      <c r="T61" s="5"/>
      <c r="U61" s="5"/>
    </row>
    <row r="62" spans="1:21" x14ac:dyDescent="0.35">
      <c r="A62" s="5"/>
      <c r="B62" s="5"/>
      <c r="C62" s="5"/>
      <c r="D62" s="5"/>
      <c r="E62" s="5"/>
      <c r="F62" s="5"/>
      <c r="G62" s="5"/>
      <c r="H62" s="5"/>
      <c r="I62" s="5"/>
      <c r="J62" s="5"/>
      <c r="K62" s="5"/>
      <c r="L62" s="5"/>
      <c r="M62" s="5"/>
      <c r="N62" s="5"/>
      <c r="O62" s="5"/>
      <c r="P62" s="5"/>
      <c r="Q62" s="5"/>
      <c r="R62" s="5"/>
      <c r="S62" s="5"/>
      <c r="T62" s="5"/>
      <c r="U62" s="5"/>
    </row>
    <row r="63" spans="1:21" x14ac:dyDescent="0.35">
      <c r="A63" s="5"/>
      <c r="B63" s="5"/>
      <c r="C63" s="5"/>
      <c r="D63" s="5"/>
      <c r="E63" s="5"/>
      <c r="F63" s="5"/>
      <c r="G63" s="5"/>
      <c r="H63" s="5"/>
      <c r="I63" s="5"/>
      <c r="J63" s="5"/>
      <c r="K63" s="5"/>
      <c r="L63" s="5"/>
      <c r="M63" s="5"/>
      <c r="N63" s="5"/>
      <c r="O63" s="5"/>
      <c r="P63" s="5"/>
      <c r="Q63" s="5"/>
      <c r="R63" s="5"/>
      <c r="S63" s="5"/>
      <c r="T63" s="5"/>
      <c r="U63" s="5"/>
    </row>
    <row r="64" spans="1:21" x14ac:dyDescent="0.35">
      <c r="A64" s="5"/>
      <c r="B64" s="5"/>
      <c r="C64" s="5"/>
      <c r="D64" s="5"/>
      <c r="E64" s="5"/>
      <c r="F64" s="5"/>
      <c r="G64" s="5"/>
      <c r="H64" s="5"/>
      <c r="I64" s="5"/>
      <c r="J64" s="5"/>
      <c r="K64" s="5"/>
      <c r="L64" s="5"/>
      <c r="M64" s="5"/>
      <c r="N64" s="5"/>
      <c r="O64" s="5"/>
      <c r="P64" s="5"/>
      <c r="Q64" s="5"/>
      <c r="R64" s="5"/>
      <c r="S64" s="5"/>
      <c r="T64" s="5"/>
      <c r="U64" s="5"/>
    </row>
    <row r="65" spans="1:21" x14ac:dyDescent="0.35">
      <c r="A65" s="5"/>
      <c r="B65" s="5"/>
      <c r="C65" s="5"/>
      <c r="D65" s="5"/>
      <c r="E65" s="5"/>
      <c r="F65" s="5"/>
      <c r="G65" s="5"/>
      <c r="H65" s="5"/>
      <c r="I65" s="5"/>
      <c r="J65" s="5"/>
      <c r="K65" s="5"/>
      <c r="L65" s="5"/>
      <c r="M65" s="5"/>
      <c r="N65" s="5"/>
      <c r="O65" s="5"/>
      <c r="P65" s="5"/>
      <c r="Q65" s="5"/>
      <c r="R65" s="5"/>
      <c r="S65" s="5"/>
      <c r="T65" s="5"/>
      <c r="U65" s="5"/>
    </row>
    <row r="66" spans="1:21" x14ac:dyDescent="0.35">
      <c r="A66" s="5"/>
      <c r="B66" s="5"/>
      <c r="C66" s="5"/>
      <c r="D66" s="5"/>
      <c r="E66" s="5"/>
      <c r="F66" s="5"/>
      <c r="G66" s="5"/>
      <c r="H66" s="5"/>
      <c r="I66" s="5"/>
      <c r="J66" s="5"/>
      <c r="K66" s="5"/>
      <c r="L66" s="5"/>
      <c r="M66" s="5"/>
      <c r="N66" s="5"/>
      <c r="O66" s="5"/>
      <c r="P66" s="5"/>
      <c r="Q66" s="5"/>
      <c r="R66" s="5"/>
      <c r="S66" s="5"/>
      <c r="T66" s="5"/>
      <c r="U66" s="5"/>
    </row>
    <row r="67" spans="1:21" x14ac:dyDescent="0.35">
      <c r="A67" s="5"/>
      <c r="B67" s="5"/>
      <c r="C67" s="5"/>
      <c r="D67" s="5"/>
      <c r="E67" s="5"/>
      <c r="F67" s="5"/>
      <c r="G67" s="5"/>
      <c r="H67" s="5"/>
      <c r="I67" s="5"/>
      <c r="J67" s="5"/>
      <c r="K67" s="5"/>
      <c r="L67" s="5"/>
      <c r="M67" s="5"/>
      <c r="N67" s="5"/>
      <c r="O67" s="5"/>
      <c r="P67" s="5"/>
      <c r="Q67" s="5"/>
      <c r="R67" s="5"/>
      <c r="S67" s="5"/>
      <c r="T67" s="5"/>
      <c r="U67" s="5"/>
    </row>
    <row r="68" spans="1:21" x14ac:dyDescent="0.35">
      <c r="A68" s="5"/>
      <c r="B68" s="5"/>
      <c r="C68" s="5"/>
      <c r="D68" s="5"/>
      <c r="E68" s="5"/>
      <c r="F68" s="5"/>
      <c r="G68" s="5"/>
      <c r="H68" s="5"/>
      <c r="I68" s="5"/>
      <c r="J68" s="5"/>
      <c r="K68" s="5"/>
      <c r="L68" s="5"/>
      <c r="M68" s="5"/>
      <c r="N68" s="5"/>
      <c r="O68" s="5"/>
      <c r="P68" s="5"/>
      <c r="Q68" s="5"/>
      <c r="R68" s="5"/>
      <c r="S68" s="5"/>
      <c r="T68" s="5"/>
      <c r="U68" s="5"/>
    </row>
  </sheetData>
  <mergeCells count="1">
    <mergeCell ref="A1:U6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topLeftCell="F31" workbookViewId="0">
      <selection sqref="A1:XFD51"/>
    </sheetView>
  </sheetViews>
  <sheetFormatPr defaultRowHeight="14.5" x14ac:dyDescent="0.35"/>
  <cols>
    <col min="1" max="1" width="10.08984375" bestFit="1" customWidth="1"/>
    <col min="2" max="2" width="12" customWidth="1"/>
    <col min="3" max="3" width="16.1796875" bestFit="1" customWidth="1"/>
    <col min="4" max="4" width="15.36328125" bestFit="1" customWidth="1"/>
    <col min="5" max="5" width="11.54296875" bestFit="1" customWidth="1"/>
    <col min="6" max="6" width="11.6328125" bestFit="1" customWidth="1"/>
    <col min="7" max="7" width="9.90625" customWidth="1"/>
    <col min="8" max="8" width="15.08984375" customWidth="1"/>
    <col min="9" max="9" width="22.90625" customWidth="1"/>
    <col min="10" max="10" width="13.08984375" customWidth="1"/>
    <col min="11" max="11" width="18" bestFit="1" customWidth="1"/>
    <col min="12" max="12" width="10.6328125" bestFit="1" customWidth="1"/>
    <col min="13" max="13" width="9.90625" bestFit="1" customWidth="1"/>
  </cols>
  <sheetData>
    <row r="1" spans="1:13" x14ac:dyDescent="0.35">
      <c r="A1" t="s">
        <v>0</v>
      </c>
      <c r="B1" t="s">
        <v>1</v>
      </c>
      <c r="C1" t="s">
        <v>2</v>
      </c>
      <c r="D1" t="s">
        <v>3</v>
      </c>
      <c r="E1" t="s">
        <v>4</v>
      </c>
      <c r="F1" t="s">
        <v>5</v>
      </c>
      <c r="G1" t="s">
        <v>6</v>
      </c>
      <c r="H1" t="s">
        <v>7</v>
      </c>
      <c r="I1" t="s">
        <v>8</v>
      </c>
      <c r="J1" t="s">
        <v>145</v>
      </c>
      <c r="K1" t="s">
        <v>146</v>
      </c>
      <c r="L1" t="s">
        <v>147</v>
      </c>
      <c r="M1" t="s">
        <v>163</v>
      </c>
    </row>
    <row r="2" spans="1:13" x14ac:dyDescent="0.35">
      <c r="A2" s="1">
        <v>45662</v>
      </c>
      <c r="B2" t="s">
        <v>9</v>
      </c>
      <c r="C2" t="s">
        <v>10</v>
      </c>
      <c r="D2" t="s">
        <v>11</v>
      </c>
      <c r="E2" t="s">
        <v>12</v>
      </c>
      <c r="F2" t="s">
        <v>13</v>
      </c>
      <c r="G2">
        <v>12</v>
      </c>
      <c r="H2">
        <v>65000</v>
      </c>
      <c r="I2">
        <v>10</v>
      </c>
      <c r="J2">
        <f>product_sales[[#This Row],[price_per_unit]]*product_sales[[#This Row],[quantity]]</f>
        <v>780000</v>
      </c>
      <c r="K2">
        <f>product_sales[[#This Row],[total_sales]]*product_sales[[#This Row],[discount_in_percentage]]/100</f>
        <v>78000</v>
      </c>
      <c r="L2">
        <f>product_sales[[#This Row],[total_sales]]-product_sales[[#This Row],[discount_amount]]</f>
        <v>702000</v>
      </c>
      <c r="M2" s="4" t="str">
        <f>TEXT(product_sales[[#This Row],[date]],"mmmm")</f>
        <v>January</v>
      </c>
    </row>
    <row r="3" spans="1:13" x14ac:dyDescent="0.35">
      <c r="A3" s="1">
        <v>45669</v>
      </c>
      <c r="B3" t="s">
        <v>14</v>
      </c>
      <c r="C3" t="s">
        <v>15</v>
      </c>
      <c r="D3" t="s">
        <v>11</v>
      </c>
      <c r="E3" t="s">
        <v>16</v>
      </c>
      <c r="F3" t="s">
        <v>13</v>
      </c>
      <c r="G3">
        <v>25</v>
      </c>
      <c r="H3">
        <v>28000</v>
      </c>
      <c r="I3">
        <v>8</v>
      </c>
      <c r="J3">
        <f>product_sales[[#This Row],[price_per_unit]]*product_sales[[#This Row],[quantity]]</f>
        <v>700000</v>
      </c>
      <c r="K3">
        <f>product_sales[[#This Row],[total_sales]]*product_sales[[#This Row],[discount_in_percentage]]/100</f>
        <v>56000</v>
      </c>
      <c r="L3">
        <f>product_sales[[#This Row],[total_sales]]-product_sales[[#This Row],[discount_amount]]</f>
        <v>644000</v>
      </c>
      <c r="M3" s="4" t="str">
        <f>TEXT(product_sales[[#This Row],[date]],"mmmm")</f>
        <v>January</v>
      </c>
    </row>
    <row r="4" spans="1:13" x14ac:dyDescent="0.35">
      <c r="A4" s="1">
        <v>45676</v>
      </c>
      <c r="B4" t="s">
        <v>17</v>
      </c>
      <c r="C4" t="s">
        <v>18</v>
      </c>
      <c r="D4" t="s">
        <v>19</v>
      </c>
      <c r="E4" t="s">
        <v>20</v>
      </c>
      <c r="F4" t="s">
        <v>13</v>
      </c>
      <c r="G4">
        <v>18</v>
      </c>
      <c r="H4">
        <v>5500</v>
      </c>
      <c r="I4">
        <v>12</v>
      </c>
      <c r="J4">
        <f>product_sales[[#This Row],[price_per_unit]]*product_sales[[#This Row],[quantity]]</f>
        <v>99000</v>
      </c>
      <c r="K4">
        <f>product_sales[[#This Row],[total_sales]]*product_sales[[#This Row],[discount_in_percentage]]/100</f>
        <v>11880</v>
      </c>
      <c r="L4">
        <f>product_sales[[#This Row],[total_sales]]-product_sales[[#This Row],[discount_amount]]</f>
        <v>87120</v>
      </c>
      <c r="M4" s="4" t="str">
        <f>TEXT(product_sales[[#This Row],[date]],"mmmm")</f>
        <v>January</v>
      </c>
    </row>
    <row r="5" spans="1:13" x14ac:dyDescent="0.35">
      <c r="A5" s="1">
        <v>45683</v>
      </c>
      <c r="B5" t="s">
        <v>21</v>
      </c>
      <c r="C5" t="s">
        <v>22</v>
      </c>
      <c r="D5" t="s">
        <v>19</v>
      </c>
      <c r="E5" t="s">
        <v>23</v>
      </c>
      <c r="F5" t="s">
        <v>13</v>
      </c>
      <c r="G5">
        <v>8</v>
      </c>
      <c r="H5">
        <v>18000</v>
      </c>
      <c r="I5">
        <v>15</v>
      </c>
      <c r="J5">
        <f>product_sales[[#This Row],[price_per_unit]]*product_sales[[#This Row],[quantity]]</f>
        <v>144000</v>
      </c>
      <c r="K5">
        <f>product_sales[[#This Row],[total_sales]]*product_sales[[#This Row],[discount_in_percentage]]/100</f>
        <v>21600</v>
      </c>
      <c r="L5">
        <f>product_sales[[#This Row],[total_sales]]-product_sales[[#This Row],[discount_amount]]</f>
        <v>122400</v>
      </c>
      <c r="M5" s="4" t="str">
        <f>TEXT(product_sales[[#This Row],[date]],"mmmm")</f>
        <v>January</v>
      </c>
    </row>
    <row r="6" spans="1:13" x14ac:dyDescent="0.35">
      <c r="A6" s="1">
        <v>45690</v>
      </c>
      <c r="B6" t="s">
        <v>24</v>
      </c>
      <c r="C6" t="s">
        <v>25</v>
      </c>
      <c r="D6" t="s">
        <v>11</v>
      </c>
      <c r="E6" t="s">
        <v>26</v>
      </c>
      <c r="F6" t="s">
        <v>13</v>
      </c>
      <c r="G6">
        <v>10</v>
      </c>
      <c r="H6">
        <v>12000</v>
      </c>
      <c r="I6">
        <v>5</v>
      </c>
      <c r="J6">
        <f>product_sales[[#This Row],[price_per_unit]]*product_sales[[#This Row],[quantity]]</f>
        <v>120000</v>
      </c>
      <c r="K6">
        <f>product_sales[[#This Row],[total_sales]]*product_sales[[#This Row],[discount_in_percentage]]/100</f>
        <v>6000</v>
      </c>
      <c r="L6">
        <f>product_sales[[#This Row],[total_sales]]-product_sales[[#This Row],[discount_amount]]</f>
        <v>114000</v>
      </c>
      <c r="M6" s="4" t="str">
        <f>TEXT(product_sales[[#This Row],[date]],"mmmm")</f>
        <v>February</v>
      </c>
    </row>
    <row r="7" spans="1:13" x14ac:dyDescent="0.35">
      <c r="A7" s="1">
        <v>45697</v>
      </c>
      <c r="B7" t="s">
        <v>27</v>
      </c>
      <c r="C7" t="s">
        <v>28</v>
      </c>
      <c r="D7" t="s">
        <v>29</v>
      </c>
      <c r="E7" t="s">
        <v>30</v>
      </c>
      <c r="F7" t="s">
        <v>13</v>
      </c>
      <c r="G7">
        <v>20</v>
      </c>
      <c r="H7">
        <v>3500</v>
      </c>
      <c r="I7">
        <v>18</v>
      </c>
      <c r="J7">
        <f>product_sales[[#This Row],[price_per_unit]]*product_sales[[#This Row],[quantity]]</f>
        <v>70000</v>
      </c>
      <c r="K7">
        <f>product_sales[[#This Row],[total_sales]]*product_sales[[#This Row],[discount_in_percentage]]/100</f>
        <v>12600</v>
      </c>
      <c r="L7">
        <f>product_sales[[#This Row],[total_sales]]-product_sales[[#This Row],[discount_amount]]</f>
        <v>57400</v>
      </c>
      <c r="M7" s="4" t="str">
        <f>TEXT(product_sales[[#This Row],[date]],"mmmm")</f>
        <v>February</v>
      </c>
    </row>
    <row r="8" spans="1:13" x14ac:dyDescent="0.35">
      <c r="A8" s="1">
        <v>45704</v>
      </c>
      <c r="B8" t="s">
        <v>31</v>
      </c>
      <c r="C8" t="s">
        <v>32</v>
      </c>
      <c r="D8" t="s">
        <v>29</v>
      </c>
      <c r="E8" t="s">
        <v>33</v>
      </c>
      <c r="F8" t="s">
        <v>13</v>
      </c>
      <c r="G8">
        <v>6</v>
      </c>
      <c r="H8">
        <v>42000</v>
      </c>
      <c r="I8">
        <v>10</v>
      </c>
      <c r="J8">
        <f>product_sales[[#This Row],[price_per_unit]]*product_sales[[#This Row],[quantity]]</f>
        <v>252000</v>
      </c>
      <c r="K8">
        <f>product_sales[[#This Row],[total_sales]]*product_sales[[#This Row],[discount_in_percentage]]/100</f>
        <v>25200</v>
      </c>
      <c r="L8">
        <f>product_sales[[#This Row],[total_sales]]-product_sales[[#This Row],[discount_amount]]</f>
        <v>226800</v>
      </c>
      <c r="M8" s="4" t="str">
        <f>TEXT(product_sales[[#This Row],[date]],"mmmm")</f>
        <v>February</v>
      </c>
    </row>
    <row r="9" spans="1:13" x14ac:dyDescent="0.35">
      <c r="A9" s="1">
        <v>45711</v>
      </c>
      <c r="B9" t="s">
        <v>34</v>
      </c>
      <c r="C9" t="s">
        <v>35</v>
      </c>
      <c r="D9" t="s">
        <v>29</v>
      </c>
      <c r="E9" t="s">
        <v>36</v>
      </c>
      <c r="F9" t="s">
        <v>13</v>
      </c>
      <c r="G9">
        <v>14</v>
      </c>
      <c r="H9">
        <v>9500</v>
      </c>
      <c r="I9">
        <v>12</v>
      </c>
      <c r="J9">
        <f>product_sales[[#This Row],[price_per_unit]]*product_sales[[#This Row],[quantity]]</f>
        <v>133000</v>
      </c>
      <c r="K9">
        <f>product_sales[[#This Row],[total_sales]]*product_sales[[#This Row],[discount_in_percentage]]/100</f>
        <v>15960</v>
      </c>
      <c r="L9">
        <f>product_sales[[#This Row],[total_sales]]-product_sales[[#This Row],[discount_amount]]</f>
        <v>117040</v>
      </c>
      <c r="M9" s="4" t="str">
        <f>TEXT(product_sales[[#This Row],[date]],"mmmm")</f>
        <v>February</v>
      </c>
    </row>
    <row r="10" spans="1:13" x14ac:dyDescent="0.35">
      <c r="A10" s="1">
        <v>45718</v>
      </c>
      <c r="B10" t="s">
        <v>37</v>
      </c>
      <c r="C10" t="s">
        <v>38</v>
      </c>
      <c r="D10" t="s">
        <v>39</v>
      </c>
      <c r="E10" t="s">
        <v>12</v>
      </c>
      <c r="F10" t="s">
        <v>13</v>
      </c>
      <c r="G10">
        <v>35</v>
      </c>
      <c r="H10">
        <v>2200</v>
      </c>
      <c r="I10">
        <v>20</v>
      </c>
      <c r="J10">
        <f>product_sales[[#This Row],[price_per_unit]]*product_sales[[#This Row],[quantity]]</f>
        <v>77000</v>
      </c>
      <c r="K10">
        <f>product_sales[[#This Row],[total_sales]]*product_sales[[#This Row],[discount_in_percentage]]/100</f>
        <v>15400</v>
      </c>
      <c r="L10">
        <f>product_sales[[#This Row],[total_sales]]-product_sales[[#This Row],[discount_amount]]</f>
        <v>61600</v>
      </c>
      <c r="M10" s="4" t="str">
        <f>TEXT(product_sales[[#This Row],[date]],"mmmm")</f>
        <v>March</v>
      </c>
    </row>
    <row r="11" spans="1:13" x14ac:dyDescent="0.35">
      <c r="A11" s="1">
        <v>45725</v>
      </c>
      <c r="B11" t="s">
        <v>40</v>
      </c>
      <c r="C11" t="s">
        <v>41</v>
      </c>
      <c r="D11" t="s">
        <v>39</v>
      </c>
      <c r="E11" t="s">
        <v>16</v>
      </c>
      <c r="F11" t="s">
        <v>13</v>
      </c>
      <c r="G11">
        <v>28</v>
      </c>
      <c r="H11">
        <v>1800</v>
      </c>
      <c r="I11">
        <v>15</v>
      </c>
      <c r="J11">
        <f>product_sales[[#This Row],[price_per_unit]]*product_sales[[#This Row],[quantity]]</f>
        <v>50400</v>
      </c>
      <c r="K11">
        <f>product_sales[[#This Row],[total_sales]]*product_sales[[#This Row],[discount_in_percentage]]/100</f>
        <v>7560</v>
      </c>
      <c r="L11">
        <f>product_sales[[#This Row],[total_sales]]-product_sales[[#This Row],[discount_amount]]</f>
        <v>42840</v>
      </c>
      <c r="M11" s="4" t="str">
        <f>TEXT(product_sales[[#This Row],[date]],"mmmm")</f>
        <v>March</v>
      </c>
    </row>
    <row r="12" spans="1:13" x14ac:dyDescent="0.35">
      <c r="A12" s="1">
        <v>45732</v>
      </c>
      <c r="B12" t="s">
        <v>42</v>
      </c>
      <c r="C12" t="s">
        <v>10</v>
      </c>
      <c r="D12" t="s">
        <v>11</v>
      </c>
      <c r="E12" t="s">
        <v>43</v>
      </c>
      <c r="F12" t="s">
        <v>44</v>
      </c>
      <c r="G12">
        <v>10</v>
      </c>
      <c r="H12">
        <v>62000</v>
      </c>
      <c r="I12">
        <v>9</v>
      </c>
      <c r="J12">
        <f>product_sales[[#This Row],[price_per_unit]]*product_sales[[#This Row],[quantity]]</f>
        <v>620000</v>
      </c>
      <c r="K12">
        <f>product_sales[[#This Row],[total_sales]]*product_sales[[#This Row],[discount_in_percentage]]/100</f>
        <v>55800</v>
      </c>
      <c r="L12">
        <f>product_sales[[#This Row],[total_sales]]-product_sales[[#This Row],[discount_amount]]</f>
        <v>564200</v>
      </c>
      <c r="M12" s="4" t="str">
        <f>TEXT(product_sales[[#This Row],[date]],"mmmm")</f>
        <v>March</v>
      </c>
    </row>
    <row r="13" spans="1:13" x14ac:dyDescent="0.35">
      <c r="A13" s="1">
        <v>45739</v>
      </c>
      <c r="B13" t="s">
        <v>45</v>
      </c>
      <c r="C13" t="s">
        <v>46</v>
      </c>
      <c r="D13" t="s">
        <v>11</v>
      </c>
      <c r="E13" t="s">
        <v>47</v>
      </c>
      <c r="F13" t="s">
        <v>44</v>
      </c>
      <c r="G13">
        <v>16</v>
      </c>
      <c r="H13">
        <v>24000</v>
      </c>
      <c r="I13">
        <v>10</v>
      </c>
      <c r="J13">
        <f>product_sales[[#This Row],[price_per_unit]]*product_sales[[#This Row],[quantity]]</f>
        <v>384000</v>
      </c>
      <c r="K13">
        <f>product_sales[[#This Row],[total_sales]]*product_sales[[#This Row],[discount_in_percentage]]/100</f>
        <v>38400</v>
      </c>
      <c r="L13">
        <f>product_sales[[#This Row],[total_sales]]-product_sales[[#This Row],[discount_amount]]</f>
        <v>345600</v>
      </c>
      <c r="M13" s="4" t="str">
        <f>TEXT(product_sales[[#This Row],[date]],"mmmm")</f>
        <v>March</v>
      </c>
    </row>
    <row r="14" spans="1:13" x14ac:dyDescent="0.35">
      <c r="A14" s="1">
        <v>45746</v>
      </c>
      <c r="B14" t="s">
        <v>48</v>
      </c>
      <c r="C14" t="s">
        <v>49</v>
      </c>
      <c r="D14" t="s">
        <v>19</v>
      </c>
      <c r="E14" t="s">
        <v>50</v>
      </c>
      <c r="F14" t="s">
        <v>44</v>
      </c>
      <c r="G14">
        <v>5</v>
      </c>
      <c r="H14">
        <v>28000</v>
      </c>
      <c r="I14">
        <v>12</v>
      </c>
      <c r="J14">
        <f>product_sales[[#This Row],[price_per_unit]]*product_sales[[#This Row],[quantity]]</f>
        <v>140000</v>
      </c>
      <c r="K14">
        <f>product_sales[[#This Row],[total_sales]]*product_sales[[#This Row],[discount_in_percentage]]/100</f>
        <v>16800</v>
      </c>
      <c r="L14">
        <f>product_sales[[#This Row],[total_sales]]-product_sales[[#This Row],[discount_amount]]</f>
        <v>123200</v>
      </c>
      <c r="M14" s="4" t="str">
        <f>TEXT(product_sales[[#This Row],[date]],"mmmm")</f>
        <v>March</v>
      </c>
    </row>
    <row r="15" spans="1:13" x14ac:dyDescent="0.35">
      <c r="A15" s="1">
        <v>45753</v>
      </c>
      <c r="B15" t="s">
        <v>51</v>
      </c>
      <c r="C15" t="s">
        <v>52</v>
      </c>
      <c r="D15" t="s">
        <v>19</v>
      </c>
      <c r="E15" t="s">
        <v>53</v>
      </c>
      <c r="F15" t="s">
        <v>44</v>
      </c>
      <c r="G15">
        <v>15</v>
      </c>
      <c r="H15">
        <v>7000</v>
      </c>
      <c r="I15">
        <v>8</v>
      </c>
      <c r="J15">
        <f>product_sales[[#This Row],[price_per_unit]]*product_sales[[#This Row],[quantity]]</f>
        <v>105000</v>
      </c>
      <c r="K15">
        <f>product_sales[[#This Row],[total_sales]]*product_sales[[#This Row],[discount_in_percentage]]/100</f>
        <v>8400</v>
      </c>
      <c r="L15">
        <f>product_sales[[#This Row],[total_sales]]-product_sales[[#This Row],[discount_amount]]</f>
        <v>96600</v>
      </c>
      <c r="M15" s="4" t="str">
        <f>TEXT(product_sales[[#This Row],[date]],"mmmm")</f>
        <v>April</v>
      </c>
    </row>
    <row r="16" spans="1:13" x14ac:dyDescent="0.35">
      <c r="A16" s="1">
        <v>45760</v>
      </c>
      <c r="B16" t="s">
        <v>54</v>
      </c>
      <c r="C16" t="s">
        <v>55</v>
      </c>
      <c r="D16" t="s">
        <v>29</v>
      </c>
      <c r="E16" t="s">
        <v>56</v>
      </c>
      <c r="F16" t="s">
        <v>44</v>
      </c>
      <c r="G16">
        <v>7</v>
      </c>
      <c r="H16">
        <v>26000</v>
      </c>
      <c r="I16">
        <v>10</v>
      </c>
      <c r="J16">
        <f>product_sales[[#This Row],[price_per_unit]]*product_sales[[#This Row],[quantity]]</f>
        <v>182000</v>
      </c>
      <c r="K16">
        <f>product_sales[[#This Row],[total_sales]]*product_sales[[#This Row],[discount_in_percentage]]/100</f>
        <v>18200</v>
      </c>
      <c r="L16">
        <f>product_sales[[#This Row],[total_sales]]-product_sales[[#This Row],[discount_amount]]</f>
        <v>163800</v>
      </c>
      <c r="M16" s="4" t="str">
        <f>TEXT(product_sales[[#This Row],[date]],"mmmm")</f>
        <v>April</v>
      </c>
    </row>
    <row r="17" spans="1:13" x14ac:dyDescent="0.35">
      <c r="A17" s="1">
        <v>45767</v>
      </c>
      <c r="B17" t="s">
        <v>57</v>
      </c>
      <c r="C17" t="s">
        <v>58</v>
      </c>
      <c r="D17" t="s">
        <v>29</v>
      </c>
      <c r="E17" t="s">
        <v>59</v>
      </c>
      <c r="F17" t="s">
        <v>44</v>
      </c>
      <c r="G17">
        <v>9</v>
      </c>
      <c r="H17">
        <v>33000</v>
      </c>
      <c r="I17">
        <v>11</v>
      </c>
      <c r="J17">
        <f>product_sales[[#This Row],[price_per_unit]]*product_sales[[#This Row],[quantity]]</f>
        <v>297000</v>
      </c>
      <c r="K17">
        <f>product_sales[[#This Row],[total_sales]]*product_sales[[#This Row],[discount_in_percentage]]/100</f>
        <v>32670</v>
      </c>
      <c r="L17">
        <f>product_sales[[#This Row],[total_sales]]-product_sales[[#This Row],[discount_amount]]</f>
        <v>264330</v>
      </c>
      <c r="M17" s="4" t="str">
        <f>TEXT(product_sales[[#This Row],[date]],"mmmm")</f>
        <v>April</v>
      </c>
    </row>
    <row r="18" spans="1:13" x14ac:dyDescent="0.35">
      <c r="A18" s="1">
        <v>45774</v>
      </c>
      <c r="B18" t="s">
        <v>60</v>
      </c>
      <c r="C18" t="s">
        <v>61</v>
      </c>
      <c r="D18" t="s">
        <v>11</v>
      </c>
      <c r="E18" t="s">
        <v>62</v>
      </c>
      <c r="F18" t="s">
        <v>44</v>
      </c>
      <c r="G18">
        <v>40</v>
      </c>
      <c r="H18">
        <v>2500</v>
      </c>
      <c r="I18">
        <v>18</v>
      </c>
      <c r="J18">
        <f>product_sales[[#This Row],[price_per_unit]]*product_sales[[#This Row],[quantity]]</f>
        <v>100000</v>
      </c>
      <c r="K18">
        <f>product_sales[[#This Row],[total_sales]]*product_sales[[#This Row],[discount_in_percentage]]/100</f>
        <v>18000</v>
      </c>
      <c r="L18">
        <f>product_sales[[#This Row],[total_sales]]-product_sales[[#This Row],[discount_amount]]</f>
        <v>82000</v>
      </c>
      <c r="M18" s="4" t="str">
        <f>TEXT(product_sales[[#This Row],[date]],"mmmm")</f>
        <v>April</v>
      </c>
    </row>
    <row r="19" spans="1:13" x14ac:dyDescent="0.35">
      <c r="A19" s="1">
        <v>45781</v>
      </c>
      <c r="B19" t="s">
        <v>63</v>
      </c>
      <c r="C19" t="s">
        <v>64</v>
      </c>
      <c r="D19" t="s">
        <v>11</v>
      </c>
      <c r="E19" t="s">
        <v>65</v>
      </c>
      <c r="F19" t="s">
        <v>44</v>
      </c>
      <c r="G19">
        <v>22</v>
      </c>
      <c r="H19">
        <v>9000</v>
      </c>
      <c r="I19">
        <v>15</v>
      </c>
      <c r="J19">
        <f>product_sales[[#This Row],[price_per_unit]]*product_sales[[#This Row],[quantity]]</f>
        <v>198000</v>
      </c>
      <c r="K19">
        <f>product_sales[[#This Row],[total_sales]]*product_sales[[#This Row],[discount_in_percentage]]/100</f>
        <v>29700</v>
      </c>
      <c r="L19">
        <f>product_sales[[#This Row],[total_sales]]-product_sales[[#This Row],[discount_amount]]</f>
        <v>168300</v>
      </c>
      <c r="M19" s="4" t="str">
        <f>TEXT(product_sales[[#This Row],[date]],"mmmm")</f>
        <v>May</v>
      </c>
    </row>
    <row r="20" spans="1:13" x14ac:dyDescent="0.35">
      <c r="A20" s="1">
        <v>45788</v>
      </c>
      <c r="B20" t="s">
        <v>66</v>
      </c>
      <c r="C20" t="s">
        <v>67</v>
      </c>
      <c r="D20" t="s">
        <v>39</v>
      </c>
      <c r="E20" t="s">
        <v>43</v>
      </c>
      <c r="F20" t="s">
        <v>44</v>
      </c>
      <c r="G20">
        <v>50</v>
      </c>
      <c r="H20">
        <v>800</v>
      </c>
      <c r="I20">
        <v>25</v>
      </c>
      <c r="J20">
        <f>product_sales[[#This Row],[price_per_unit]]*product_sales[[#This Row],[quantity]]</f>
        <v>40000</v>
      </c>
      <c r="K20">
        <f>product_sales[[#This Row],[total_sales]]*product_sales[[#This Row],[discount_in_percentage]]/100</f>
        <v>10000</v>
      </c>
      <c r="L20">
        <f>product_sales[[#This Row],[total_sales]]-product_sales[[#This Row],[discount_amount]]</f>
        <v>30000</v>
      </c>
      <c r="M20" s="4" t="str">
        <f>TEXT(product_sales[[#This Row],[date]],"mmmm")</f>
        <v>May</v>
      </c>
    </row>
    <row r="21" spans="1:13" x14ac:dyDescent="0.35">
      <c r="A21" s="1">
        <v>45795</v>
      </c>
      <c r="B21" t="s">
        <v>68</v>
      </c>
      <c r="C21" t="s">
        <v>69</v>
      </c>
      <c r="D21" t="s">
        <v>39</v>
      </c>
      <c r="E21" t="s">
        <v>47</v>
      </c>
      <c r="F21" t="s">
        <v>44</v>
      </c>
      <c r="G21">
        <v>30</v>
      </c>
      <c r="H21">
        <v>1800</v>
      </c>
      <c r="I21">
        <v>20</v>
      </c>
      <c r="J21">
        <f>product_sales[[#This Row],[price_per_unit]]*product_sales[[#This Row],[quantity]]</f>
        <v>54000</v>
      </c>
      <c r="K21">
        <f>product_sales[[#This Row],[total_sales]]*product_sales[[#This Row],[discount_in_percentage]]/100</f>
        <v>10800</v>
      </c>
      <c r="L21">
        <f>product_sales[[#This Row],[total_sales]]-product_sales[[#This Row],[discount_amount]]</f>
        <v>43200</v>
      </c>
      <c r="M21" s="4" t="str">
        <f>TEXT(product_sales[[#This Row],[date]],"mmmm")</f>
        <v>May</v>
      </c>
    </row>
    <row r="22" spans="1:13" x14ac:dyDescent="0.35">
      <c r="A22" s="1">
        <v>45802</v>
      </c>
      <c r="B22" t="s">
        <v>70</v>
      </c>
      <c r="C22" t="s">
        <v>10</v>
      </c>
      <c r="D22" t="s">
        <v>11</v>
      </c>
      <c r="E22" t="s">
        <v>71</v>
      </c>
      <c r="F22" t="s">
        <v>72</v>
      </c>
      <c r="G22">
        <v>11</v>
      </c>
      <c r="H22">
        <v>64000</v>
      </c>
      <c r="I22">
        <v>8</v>
      </c>
      <c r="J22">
        <f>product_sales[[#This Row],[price_per_unit]]*product_sales[[#This Row],[quantity]]</f>
        <v>704000</v>
      </c>
      <c r="K22">
        <f>product_sales[[#This Row],[total_sales]]*product_sales[[#This Row],[discount_in_percentage]]/100</f>
        <v>56320</v>
      </c>
      <c r="L22">
        <f>product_sales[[#This Row],[total_sales]]-product_sales[[#This Row],[discount_amount]]</f>
        <v>647680</v>
      </c>
      <c r="M22" s="4" t="str">
        <f>TEXT(product_sales[[#This Row],[date]],"mmmm")</f>
        <v>May</v>
      </c>
    </row>
    <row r="23" spans="1:13" x14ac:dyDescent="0.35">
      <c r="A23" s="1">
        <v>45809</v>
      </c>
      <c r="B23" t="s">
        <v>73</v>
      </c>
      <c r="C23" t="s">
        <v>74</v>
      </c>
      <c r="D23" t="s">
        <v>11</v>
      </c>
      <c r="E23" t="s">
        <v>75</v>
      </c>
      <c r="F23" t="s">
        <v>72</v>
      </c>
      <c r="G23">
        <v>32</v>
      </c>
      <c r="H23">
        <v>1200</v>
      </c>
      <c r="I23">
        <v>15</v>
      </c>
      <c r="J23">
        <f>product_sales[[#This Row],[price_per_unit]]*product_sales[[#This Row],[quantity]]</f>
        <v>38400</v>
      </c>
      <c r="K23">
        <f>product_sales[[#This Row],[total_sales]]*product_sales[[#This Row],[discount_in_percentage]]/100</f>
        <v>5760</v>
      </c>
      <c r="L23">
        <f>product_sales[[#This Row],[total_sales]]-product_sales[[#This Row],[discount_amount]]</f>
        <v>32640</v>
      </c>
      <c r="M23" s="4" t="str">
        <f>TEXT(product_sales[[#This Row],[date]],"mmmm")</f>
        <v>June</v>
      </c>
    </row>
    <row r="24" spans="1:13" x14ac:dyDescent="0.35">
      <c r="A24" s="1">
        <v>45816</v>
      </c>
      <c r="B24" t="s">
        <v>76</v>
      </c>
      <c r="C24" t="s">
        <v>77</v>
      </c>
      <c r="D24" t="s">
        <v>11</v>
      </c>
      <c r="E24" t="s">
        <v>78</v>
      </c>
      <c r="F24" t="s">
        <v>72</v>
      </c>
      <c r="G24">
        <v>40</v>
      </c>
      <c r="H24">
        <v>800</v>
      </c>
      <c r="I24">
        <v>18</v>
      </c>
      <c r="J24">
        <f>product_sales[[#This Row],[price_per_unit]]*product_sales[[#This Row],[quantity]]</f>
        <v>32000</v>
      </c>
      <c r="K24">
        <f>product_sales[[#This Row],[total_sales]]*product_sales[[#This Row],[discount_in_percentage]]/100</f>
        <v>5760</v>
      </c>
      <c r="L24">
        <f>product_sales[[#This Row],[total_sales]]-product_sales[[#This Row],[discount_amount]]</f>
        <v>26240</v>
      </c>
      <c r="M24" s="4" t="str">
        <f>TEXT(product_sales[[#This Row],[date]],"mmmm")</f>
        <v>June</v>
      </c>
    </row>
    <row r="25" spans="1:13" x14ac:dyDescent="0.35">
      <c r="A25" s="1">
        <v>45823</v>
      </c>
      <c r="B25" t="s">
        <v>79</v>
      </c>
      <c r="C25" t="s">
        <v>80</v>
      </c>
      <c r="D25" t="s">
        <v>19</v>
      </c>
      <c r="E25" t="s">
        <v>81</v>
      </c>
      <c r="F25" t="s">
        <v>72</v>
      </c>
      <c r="G25">
        <v>10</v>
      </c>
      <c r="H25">
        <v>9500</v>
      </c>
      <c r="I25">
        <v>10</v>
      </c>
      <c r="J25">
        <f>product_sales[[#This Row],[price_per_unit]]*product_sales[[#This Row],[quantity]]</f>
        <v>95000</v>
      </c>
      <c r="K25">
        <f>product_sales[[#This Row],[total_sales]]*product_sales[[#This Row],[discount_in_percentage]]/100</f>
        <v>9500</v>
      </c>
      <c r="L25">
        <f>product_sales[[#This Row],[total_sales]]-product_sales[[#This Row],[discount_amount]]</f>
        <v>85500</v>
      </c>
      <c r="M25" s="4" t="str">
        <f>TEXT(product_sales[[#This Row],[date]],"mmmm")</f>
        <v>June</v>
      </c>
    </row>
    <row r="26" spans="1:13" x14ac:dyDescent="0.35">
      <c r="A26" s="1">
        <v>45830</v>
      </c>
      <c r="B26" t="s">
        <v>82</v>
      </c>
      <c r="C26" t="s">
        <v>83</v>
      </c>
      <c r="D26" t="s">
        <v>19</v>
      </c>
      <c r="E26" t="s">
        <v>84</v>
      </c>
      <c r="F26" t="s">
        <v>72</v>
      </c>
      <c r="G26">
        <v>13</v>
      </c>
      <c r="H26">
        <v>6500</v>
      </c>
      <c r="I26">
        <v>12</v>
      </c>
      <c r="J26">
        <f>product_sales[[#This Row],[price_per_unit]]*product_sales[[#This Row],[quantity]]</f>
        <v>84500</v>
      </c>
      <c r="K26">
        <f>product_sales[[#This Row],[total_sales]]*product_sales[[#This Row],[discount_in_percentage]]/100</f>
        <v>10140</v>
      </c>
      <c r="L26">
        <f>product_sales[[#This Row],[total_sales]]-product_sales[[#This Row],[discount_amount]]</f>
        <v>74360</v>
      </c>
      <c r="M26" s="4" t="str">
        <f>TEXT(product_sales[[#This Row],[date]],"mmmm")</f>
        <v>June</v>
      </c>
    </row>
    <row r="27" spans="1:13" x14ac:dyDescent="0.35">
      <c r="A27" s="1">
        <v>45837</v>
      </c>
      <c r="B27" t="s">
        <v>85</v>
      </c>
      <c r="C27" t="s">
        <v>86</v>
      </c>
      <c r="D27" t="s">
        <v>29</v>
      </c>
      <c r="E27" t="s">
        <v>87</v>
      </c>
      <c r="F27" t="s">
        <v>72</v>
      </c>
      <c r="G27">
        <v>18</v>
      </c>
      <c r="H27">
        <v>2800</v>
      </c>
      <c r="I27">
        <v>10</v>
      </c>
      <c r="J27">
        <f>product_sales[[#This Row],[price_per_unit]]*product_sales[[#This Row],[quantity]]</f>
        <v>50400</v>
      </c>
      <c r="K27">
        <f>product_sales[[#This Row],[total_sales]]*product_sales[[#This Row],[discount_in_percentage]]/100</f>
        <v>5040</v>
      </c>
      <c r="L27">
        <f>product_sales[[#This Row],[total_sales]]-product_sales[[#This Row],[discount_amount]]</f>
        <v>45360</v>
      </c>
      <c r="M27" s="4" t="str">
        <f>TEXT(product_sales[[#This Row],[date]],"mmmm")</f>
        <v>June</v>
      </c>
    </row>
    <row r="28" spans="1:13" x14ac:dyDescent="0.35">
      <c r="A28" s="1">
        <v>45844</v>
      </c>
      <c r="B28" t="s">
        <v>88</v>
      </c>
      <c r="C28" t="s">
        <v>89</v>
      </c>
      <c r="D28" t="s">
        <v>29</v>
      </c>
      <c r="E28" t="s">
        <v>90</v>
      </c>
      <c r="F28" t="s">
        <v>72</v>
      </c>
      <c r="G28">
        <v>12</v>
      </c>
      <c r="H28">
        <v>8500</v>
      </c>
      <c r="I28">
        <v>15</v>
      </c>
      <c r="J28">
        <f>product_sales[[#This Row],[price_per_unit]]*product_sales[[#This Row],[quantity]]</f>
        <v>102000</v>
      </c>
      <c r="K28">
        <f>product_sales[[#This Row],[total_sales]]*product_sales[[#This Row],[discount_in_percentage]]/100</f>
        <v>15300</v>
      </c>
      <c r="L28">
        <f>product_sales[[#This Row],[total_sales]]-product_sales[[#This Row],[discount_amount]]</f>
        <v>86700</v>
      </c>
      <c r="M28" s="4" t="str">
        <f>TEXT(product_sales[[#This Row],[date]],"mmmm")</f>
        <v>July</v>
      </c>
    </row>
    <row r="29" spans="1:13" x14ac:dyDescent="0.35">
      <c r="A29" s="1">
        <v>45851</v>
      </c>
      <c r="B29" t="s">
        <v>91</v>
      </c>
      <c r="C29" t="s">
        <v>92</v>
      </c>
      <c r="D29" t="s">
        <v>11</v>
      </c>
      <c r="E29" t="s">
        <v>93</v>
      </c>
      <c r="F29" t="s">
        <v>72</v>
      </c>
      <c r="G29">
        <v>8</v>
      </c>
      <c r="H29">
        <v>38000</v>
      </c>
      <c r="I29">
        <v>7</v>
      </c>
      <c r="J29">
        <f>product_sales[[#This Row],[price_per_unit]]*product_sales[[#This Row],[quantity]]</f>
        <v>304000</v>
      </c>
      <c r="K29">
        <f>product_sales[[#This Row],[total_sales]]*product_sales[[#This Row],[discount_in_percentage]]/100</f>
        <v>21280</v>
      </c>
      <c r="L29">
        <f>product_sales[[#This Row],[total_sales]]-product_sales[[#This Row],[discount_amount]]</f>
        <v>282720</v>
      </c>
      <c r="M29" s="4" t="str">
        <f>TEXT(product_sales[[#This Row],[date]],"mmmm")</f>
        <v>July</v>
      </c>
    </row>
    <row r="30" spans="1:13" x14ac:dyDescent="0.35">
      <c r="A30" s="1">
        <v>45858</v>
      </c>
      <c r="B30" t="s">
        <v>94</v>
      </c>
      <c r="C30" t="s">
        <v>95</v>
      </c>
      <c r="D30" t="s">
        <v>39</v>
      </c>
      <c r="E30" t="s">
        <v>71</v>
      </c>
      <c r="F30" t="s">
        <v>72</v>
      </c>
      <c r="G30">
        <v>24</v>
      </c>
      <c r="H30">
        <v>3200</v>
      </c>
      <c r="I30">
        <v>20</v>
      </c>
      <c r="J30">
        <f>product_sales[[#This Row],[price_per_unit]]*product_sales[[#This Row],[quantity]]</f>
        <v>76800</v>
      </c>
      <c r="K30">
        <f>product_sales[[#This Row],[total_sales]]*product_sales[[#This Row],[discount_in_percentage]]/100</f>
        <v>15360</v>
      </c>
      <c r="L30">
        <f>product_sales[[#This Row],[total_sales]]-product_sales[[#This Row],[discount_amount]]</f>
        <v>61440</v>
      </c>
      <c r="M30" s="4" t="str">
        <f>TEXT(product_sales[[#This Row],[date]],"mmmm")</f>
        <v>July</v>
      </c>
    </row>
    <row r="31" spans="1:13" x14ac:dyDescent="0.35">
      <c r="A31" s="1">
        <v>45865</v>
      </c>
      <c r="B31" t="s">
        <v>96</v>
      </c>
      <c r="C31" t="s">
        <v>97</v>
      </c>
      <c r="D31" t="s">
        <v>39</v>
      </c>
      <c r="E31" t="s">
        <v>78</v>
      </c>
      <c r="F31" t="s">
        <v>72</v>
      </c>
      <c r="G31">
        <v>30</v>
      </c>
      <c r="H31">
        <v>1500</v>
      </c>
      <c r="I31">
        <v>18</v>
      </c>
      <c r="J31">
        <f>product_sales[[#This Row],[price_per_unit]]*product_sales[[#This Row],[quantity]]</f>
        <v>45000</v>
      </c>
      <c r="K31">
        <f>product_sales[[#This Row],[total_sales]]*product_sales[[#This Row],[discount_in_percentage]]/100</f>
        <v>8100</v>
      </c>
      <c r="L31">
        <f>product_sales[[#This Row],[total_sales]]-product_sales[[#This Row],[discount_amount]]</f>
        <v>36900</v>
      </c>
      <c r="M31" s="4" t="str">
        <f>TEXT(product_sales[[#This Row],[date]],"mmmm")</f>
        <v>July</v>
      </c>
    </row>
    <row r="32" spans="1:13" x14ac:dyDescent="0.35">
      <c r="A32" s="1">
        <v>45872</v>
      </c>
      <c r="B32" t="s">
        <v>98</v>
      </c>
      <c r="C32" t="s">
        <v>10</v>
      </c>
      <c r="D32" t="s">
        <v>11</v>
      </c>
      <c r="E32" t="s">
        <v>99</v>
      </c>
      <c r="F32" t="s">
        <v>100</v>
      </c>
      <c r="G32">
        <v>14</v>
      </c>
      <c r="H32">
        <v>67000</v>
      </c>
      <c r="I32">
        <v>10</v>
      </c>
      <c r="J32">
        <f>product_sales[[#This Row],[price_per_unit]]*product_sales[[#This Row],[quantity]]</f>
        <v>938000</v>
      </c>
      <c r="K32">
        <f>product_sales[[#This Row],[total_sales]]*product_sales[[#This Row],[discount_in_percentage]]/100</f>
        <v>93800</v>
      </c>
      <c r="L32">
        <f>product_sales[[#This Row],[total_sales]]-product_sales[[#This Row],[discount_amount]]</f>
        <v>844200</v>
      </c>
      <c r="M32" s="4" t="str">
        <f>TEXT(product_sales[[#This Row],[date]],"mmmm")</f>
        <v>August</v>
      </c>
    </row>
    <row r="33" spans="1:13" x14ac:dyDescent="0.35">
      <c r="A33" s="1">
        <v>45879</v>
      </c>
      <c r="B33" t="s">
        <v>101</v>
      </c>
      <c r="C33" t="s">
        <v>15</v>
      </c>
      <c r="D33" t="s">
        <v>11</v>
      </c>
      <c r="E33" t="s">
        <v>102</v>
      </c>
      <c r="F33" t="s">
        <v>100</v>
      </c>
      <c r="G33">
        <v>26</v>
      </c>
      <c r="H33">
        <v>30000</v>
      </c>
      <c r="I33">
        <v>9</v>
      </c>
      <c r="J33">
        <f>product_sales[[#This Row],[price_per_unit]]*product_sales[[#This Row],[quantity]]</f>
        <v>780000</v>
      </c>
      <c r="K33">
        <f>product_sales[[#This Row],[total_sales]]*product_sales[[#This Row],[discount_in_percentage]]/100</f>
        <v>70200</v>
      </c>
      <c r="L33">
        <f>product_sales[[#This Row],[total_sales]]-product_sales[[#This Row],[discount_amount]]</f>
        <v>709800</v>
      </c>
      <c r="M33" s="4" t="str">
        <f>TEXT(product_sales[[#This Row],[date]],"mmmm")</f>
        <v>August</v>
      </c>
    </row>
    <row r="34" spans="1:13" x14ac:dyDescent="0.35">
      <c r="A34" s="1">
        <v>45886</v>
      </c>
      <c r="B34" t="s">
        <v>103</v>
      </c>
      <c r="C34" t="s">
        <v>104</v>
      </c>
      <c r="D34" t="s">
        <v>19</v>
      </c>
      <c r="E34" t="s">
        <v>105</v>
      </c>
      <c r="F34" t="s">
        <v>100</v>
      </c>
      <c r="G34">
        <v>20</v>
      </c>
      <c r="H34">
        <v>4200</v>
      </c>
      <c r="I34">
        <v>14</v>
      </c>
      <c r="J34">
        <f>product_sales[[#This Row],[price_per_unit]]*product_sales[[#This Row],[quantity]]</f>
        <v>84000</v>
      </c>
      <c r="K34">
        <f>product_sales[[#This Row],[total_sales]]*product_sales[[#This Row],[discount_in_percentage]]/100</f>
        <v>11760</v>
      </c>
      <c r="L34">
        <f>product_sales[[#This Row],[total_sales]]-product_sales[[#This Row],[discount_amount]]</f>
        <v>72240</v>
      </c>
      <c r="M34" s="4" t="str">
        <f>TEXT(product_sales[[#This Row],[date]],"mmmm")</f>
        <v>August</v>
      </c>
    </row>
    <row r="35" spans="1:13" x14ac:dyDescent="0.35">
      <c r="A35" s="1">
        <v>45893</v>
      </c>
      <c r="B35" t="s">
        <v>106</v>
      </c>
      <c r="C35" t="s">
        <v>107</v>
      </c>
      <c r="D35" t="s">
        <v>19</v>
      </c>
      <c r="E35" t="s">
        <v>108</v>
      </c>
      <c r="F35" t="s">
        <v>100</v>
      </c>
      <c r="G35">
        <v>11</v>
      </c>
      <c r="H35">
        <v>7800</v>
      </c>
      <c r="I35">
        <v>10</v>
      </c>
      <c r="J35">
        <f>product_sales[[#This Row],[price_per_unit]]*product_sales[[#This Row],[quantity]]</f>
        <v>85800</v>
      </c>
      <c r="K35">
        <f>product_sales[[#This Row],[total_sales]]*product_sales[[#This Row],[discount_in_percentage]]/100</f>
        <v>8580</v>
      </c>
      <c r="L35">
        <f>product_sales[[#This Row],[total_sales]]-product_sales[[#This Row],[discount_amount]]</f>
        <v>77220</v>
      </c>
      <c r="M35" s="4" t="str">
        <f>TEXT(product_sales[[#This Row],[date]],"mmmm")</f>
        <v>August</v>
      </c>
    </row>
    <row r="36" spans="1:13" x14ac:dyDescent="0.35">
      <c r="A36" s="1">
        <v>45900</v>
      </c>
      <c r="B36" t="s">
        <v>109</v>
      </c>
      <c r="C36" t="s">
        <v>110</v>
      </c>
      <c r="D36" t="s">
        <v>29</v>
      </c>
      <c r="E36" t="s">
        <v>111</v>
      </c>
      <c r="F36" t="s">
        <v>100</v>
      </c>
      <c r="G36">
        <v>15</v>
      </c>
      <c r="H36">
        <v>3500</v>
      </c>
      <c r="I36">
        <v>12</v>
      </c>
      <c r="J36">
        <f>product_sales[[#This Row],[price_per_unit]]*product_sales[[#This Row],[quantity]]</f>
        <v>52500</v>
      </c>
      <c r="K36">
        <f>product_sales[[#This Row],[total_sales]]*product_sales[[#This Row],[discount_in_percentage]]/100</f>
        <v>6300</v>
      </c>
      <c r="L36">
        <f>product_sales[[#This Row],[total_sales]]-product_sales[[#This Row],[discount_amount]]</f>
        <v>46200</v>
      </c>
      <c r="M36" s="4" t="str">
        <f>TEXT(product_sales[[#This Row],[date]],"mmmm")</f>
        <v>August</v>
      </c>
    </row>
    <row r="37" spans="1:13" x14ac:dyDescent="0.35">
      <c r="A37" s="1">
        <v>45907</v>
      </c>
      <c r="B37" t="s">
        <v>112</v>
      </c>
      <c r="C37" t="s">
        <v>113</v>
      </c>
      <c r="D37" t="s">
        <v>29</v>
      </c>
      <c r="E37" t="s">
        <v>114</v>
      </c>
      <c r="F37" t="s">
        <v>100</v>
      </c>
      <c r="G37">
        <v>9</v>
      </c>
      <c r="H37">
        <v>14500</v>
      </c>
      <c r="I37">
        <v>10</v>
      </c>
      <c r="J37">
        <f>product_sales[[#This Row],[price_per_unit]]*product_sales[[#This Row],[quantity]]</f>
        <v>130500</v>
      </c>
      <c r="K37">
        <f>product_sales[[#This Row],[total_sales]]*product_sales[[#This Row],[discount_in_percentage]]/100</f>
        <v>13050</v>
      </c>
      <c r="L37">
        <f>product_sales[[#This Row],[total_sales]]-product_sales[[#This Row],[discount_amount]]</f>
        <v>117450</v>
      </c>
      <c r="M37" s="4" t="str">
        <f>TEXT(product_sales[[#This Row],[date]],"mmmm")</f>
        <v>September</v>
      </c>
    </row>
    <row r="38" spans="1:13" x14ac:dyDescent="0.35">
      <c r="A38" s="1">
        <v>45914</v>
      </c>
      <c r="B38" t="s">
        <v>115</v>
      </c>
      <c r="C38" t="s">
        <v>116</v>
      </c>
      <c r="D38" t="s">
        <v>29</v>
      </c>
      <c r="E38" t="s">
        <v>117</v>
      </c>
      <c r="F38" t="s">
        <v>100</v>
      </c>
      <c r="G38">
        <v>7</v>
      </c>
      <c r="H38">
        <v>12000</v>
      </c>
      <c r="I38">
        <v>15</v>
      </c>
      <c r="J38">
        <f>product_sales[[#This Row],[price_per_unit]]*product_sales[[#This Row],[quantity]]</f>
        <v>84000</v>
      </c>
      <c r="K38">
        <f>product_sales[[#This Row],[total_sales]]*product_sales[[#This Row],[discount_in_percentage]]/100</f>
        <v>12600</v>
      </c>
      <c r="L38">
        <f>product_sales[[#This Row],[total_sales]]-product_sales[[#This Row],[discount_amount]]</f>
        <v>71400</v>
      </c>
      <c r="M38" s="4" t="str">
        <f>TEXT(product_sales[[#This Row],[date]],"mmmm")</f>
        <v>September</v>
      </c>
    </row>
    <row r="39" spans="1:13" x14ac:dyDescent="0.35">
      <c r="A39" s="1">
        <v>45921</v>
      </c>
      <c r="B39" t="s">
        <v>118</v>
      </c>
      <c r="C39" t="s">
        <v>119</v>
      </c>
      <c r="D39" t="s">
        <v>11</v>
      </c>
      <c r="E39" t="s">
        <v>120</v>
      </c>
      <c r="F39" t="s">
        <v>100</v>
      </c>
      <c r="G39">
        <v>28</v>
      </c>
      <c r="H39">
        <v>4500</v>
      </c>
      <c r="I39">
        <v>18</v>
      </c>
      <c r="J39">
        <f>product_sales[[#This Row],[price_per_unit]]*product_sales[[#This Row],[quantity]]</f>
        <v>126000</v>
      </c>
      <c r="K39">
        <f>product_sales[[#This Row],[total_sales]]*product_sales[[#This Row],[discount_in_percentage]]/100</f>
        <v>22680</v>
      </c>
      <c r="L39">
        <f>product_sales[[#This Row],[total_sales]]-product_sales[[#This Row],[discount_amount]]</f>
        <v>103320</v>
      </c>
      <c r="M39" s="4" t="str">
        <f>TEXT(product_sales[[#This Row],[date]],"mmmm")</f>
        <v>September</v>
      </c>
    </row>
    <row r="40" spans="1:13" x14ac:dyDescent="0.35">
      <c r="A40" s="1">
        <v>45928</v>
      </c>
      <c r="B40" t="s">
        <v>121</v>
      </c>
      <c r="C40" t="s">
        <v>122</v>
      </c>
      <c r="D40" t="s">
        <v>39</v>
      </c>
      <c r="E40" t="s">
        <v>99</v>
      </c>
      <c r="F40" t="s">
        <v>100</v>
      </c>
      <c r="G40">
        <v>34</v>
      </c>
      <c r="H40">
        <v>2200</v>
      </c>
      <c r="I40">
        <v>20</v>
      </c>
      <c r="J40">
        <f>product_sales[[#This Row],[price_per_unit]]*product_sales[[#This Row],[quantity]]</f>
        <v>74800</v>
      </c>
      <c r="K40">
        <f>product_sales[[#This Row],[total_sales]]*product_sales[[#This Row],[discount_in_percentage]]/100</f>
        <v>14960</v>
      </c>
      <c r="L40">
        <f>product_sales[[#This Row],[total_sales]]-product_sales[[#This Row],[discount_amount]]</f>
        <v>59840</v>
      </c>
      <c r="M40" s="4" t="str">
        <f>TEXT(product_sales[[#This Row],[date]],"mmmm")</f>
        <v>September</v>
      </c>
    </row>
    <row r="41" spans="1:13" x14ac:dyDescent="0.35">
      <c r="A41" s="1">
        <v>45935</v>
      </c>
      <c r="B41" t="s">
        <v>123</v>
      </c>
      <c r="C41" t="s">
        <v>124</v>
      </c>
      <c r="D41" t="s">
        <v>39</v>
      </c>
      <c r="E41" t="s">
        <v>102</v>
      </c>
      <c r="F41" t="s">
        <v>100</v>
      </c>
      <c r="G41">
        <v>45</v>
      </c>
      <c r="H41">
        <v>600</v>
      </c>
      <c r="I41">
        <v>25</v>
      </c>
      <c r="J41">
        <f>product_sales[[#This Row],[price_per_unit]]*product_sales[[#This Row],[quantity]]</f>
        <v>27000</v>
      </c>
      <c r="K41">
        <f>product_sales[[#This Row],[total_sales]]*product_sales[[#This Row],[discount_in_percentage]]/100</f>
        <v>6750</v>
      </c>
      <c r="L41">
        <f>product_sales[[#This Row],[total_sales]]-product_sales[[#This Row],[discount_amount]]</f>
        <v>20250</v>
      </c>
      <c r="M41" s="4" t="str">
        <f>TEXT(product_sales[[#This Row],[date]],"mmmm")</f>
        <v>October</v>
      </c>
    </row>
    <row r="42" spans="1:13" x14ac:dyDescent="0.35">
      <c r="A42" s="1">
        <v>45942</v>
      </c>
      <c r="B42" t="s">
        <v>125</v>
      </c>
      <c r="C42" t="s">
        <v>126</v>
      </c>
      <c r="D42" t="s">
        <v>11</v>
      </c>
      <c r="E42" t="s">
        <v>12</v>
      </c>
      <c r="F42" t="s">
        <v>13</v>
      </c>
      <c r="G42">
        <v>6</v>
      </c>
      <c r="H42">
        <v>52000</v>
      </c>
      <c r="I42">
        <v>8</v>
      </c>
      <c r="J42">
        <f>product_sales[[#This Row],[price_per_unit]]*product_sales[[#This Row],[quantity]]</f>
        <v>312000</v>
      </c>
      <c r="K42">
        <f>product_sales[[#This Row],[total_sales]]*product_sales[[#This Row],[discount_in_percentage]]/100</f>
        <v>24960</v>
      </c>
      <c r="L42">
        <f>product_sales[[#This Row],[total_sales]]-product_sales[[#This Row],[discount_amount]]</f>
        <v>287040</v>
      </c>
      <c r="M42" s="4" t="str">
        <f>TEXT(product_sales[[#This Row],[date]],"mmmm")</f>
        <v>October</v>
      </c>
    </row>
    <row r="43" spans="1:13" x14ac:dyDescent="0.35">
      <c r="A43" s="1">
        <v>45949</v>
      </c>
      <c r="B43" t="s">
        <v>127</v>
      </c>
      <c r="C43" t="s">
        <v>128</v>
      </c>
      <c r="D43" t="s">
        <v>11</v>
      </c>
      <c r="E43" t="s">
        <v>43</v>
      </c>
      <c r="F43" t="s">
        <v>44</v>
      </c>
      <c r="G43">
        <v>17</v>
      </c>
      <c r="H43">
        <v>14500</v>
      </c>
      <c r="I43">
        <v>10</v>
      </c>
      <c r="J43">
        <f>product_sales[[#This Row],[price_per_unit]]*product_sales[[#This Row],[quantity]]</f>
        <v>246500</v>
      </c>
      <c r="K43">
        <f>product_sales[[#This Row],[total_sales]]*product_sales[[#This Row],[discount_in_percentage]]/100</f>
        <v>24650</v>
      </c>
      <c r="L43">
        <f>product_sales[[#This Row],[total_sales]]-product_sales[[#This Row],[discount_amount]]</f>
        <v>221850</v>
      </c>
      <c r="M43" s="4" t="str">
        <f>TEXT(product_sales[[#This Row],[date]],"mmmm")</f>
        <v>October</v>
      </c>
    </row>
    <row r="44" spans="1:13" x14ac:dyDescent="0.35">
      <c r="A44" s="1">
        <v>45956</v>
      </c>
      <c r="B44" t="s">
        <v>129</v>
      </c>
      <c r="C44" t="s">
        <v>130</v>
      </c>
      <c r="D44" t="s">
        <v>11</v>
      </c>
      <c r="E44" t="s">
        <v>75</v>
      </c>
      <c r="F44" t="s">
        <v>72</v>
      </c>
      <c r="G44">
        <v>22</v>
      </c>
      <c r="H44">
        <v>2800</v>
      </c>
      <c r="I44">
        <v>12</v>
      </c>
      <c r="J44">
        <f>product_sales[[#This Row],[price_per_unit]]*product_sales[[#This Row],[quantity]]</f>
        <v>61600</v>
      </c>
      <c r="K44">
        <f>product_sales[[#This Row],[total_sales]]*product_sales[[#This Row],[discount_in_percentage]]/100</f>
        <v>7392</v>
      </c>
      <c r="L44">
        <f>product_sales[[#This Row],[total_sales]]-product_sales[[#This Row],[discount_amount]]</f>
        <v>54208</v>
      </c>
      <c r="M44" s="4" t="str">
        <f>TEXT(product_sales[[#This Row],[date]],"mmmm")</f>
        <v>October</v>
      </c>
    </row>
    <row r="45" spans="1:13" x14ac:dyDescent="0.35">
      <c r="A45" s="1">
        <v>45963</v>
      </c>
      <c r="B45" t="s">
        <v>131</v>
      </c>
      <c r="C45" t="s">
        <v>132</v>
      </c>
      <c r="D45" t="s">
        <v>11</v>
      </c>
      <c r="E45" t="s">
        <v>99</v>
      </c>
      <c r="F45" t="s">
        <v>100</v>
      </c>
      <c r="G45">
        <v>36</v>
      </c>
      <c r="H45">
        <v>1800</v>
      </c>
      <c r="I45">
        <v>15</v>
      </c>
      <c r="J45">
        <f>product_sales[[#This Row],[price_per_unit]]*product_sales[[#This Row],[quantity]]</f>
        <v>64800</v>
      </c>
      <c r="K45">
        <f>product_sales[[#This Row],[total_sales]]*product_sales[[#This Row],[discount_in_percentage]]/100</f>
        <v>9720</v>
      </c>
      <c r="L45">
        <f>product_sales[[#This Row],[total_sales]]-product_sales[[#This Row],[discount_amount]]</f>
        <v>55080</v>
      </c>
      <c r="M45" s="4" t="str">
        <f>TEXT(product_sales[[#This Row],[date]],"mmmm")</f>
        <v>November</v>
      </c>
    </row>
    <row r="46" spans="1:13" x14ac:dyDescent="0.35">
      <c r="A46" s="1">
        <v>45970</v>
      </c>
      <c r="B46" t="s">
        <v>133</v>
      </c>
      <c r="C46" t="s">
        <v>134</v>
      </c>
      <c r="D46" t="s">
        <v>29</v>
      </c>
      <c r="E46" t="s">
        <v>16</v>
      </c>
      <c r="F46" t="s">
        <v>13</v>
      </c>
      <c r="G46">
        <v>10</v>
      </c>
      <c r="H46">
        <v>8500</v>
      </c>
      <c r="I46">
        <v>18</v>
      </c>
      <c r="J46">
        <f>product_sales[[#This Row],[price_per_unit]]*product_sales[[#This Row],[quantity]]</f>
        <v>85000</v>
      </c>
      <c r="K46">
        <f>product_sales[[#This Row],[total_sales]]*product_sales[[#This Row],[discount_in_percentage]]/100</f>
        <v>15300</v>
      </c>
      <c r="L46">
        <f>product_sales[[#This Row],[total_sales]]-product_sales[[#This Row],[discount_amount]]</f>
        <v>69700</v>
      </c>
      <c r="M46" s="4" t="str">
        <f>TEXT(product_sales[[#This Row],[date]],"mmmm")</f>
        <v>November</v>
      </c>
    </row>
    <row r="47" spans="1:13" x14ac:dyDescent="0.35">
      <c r="A47" s="1">
        <v>45977</v>
      </c>
      <c r="B47" t="s">
        <v>135</v>
      </c>
      <c r="C47" t="s">
        <v>136</v>
      </c>
      <c r="D47" t="s">
        <v>19</v>
      </c>
      <c r="E47" t="s">
        <v>47</v>
      </c>
      <c r="F47" t="s">
        <v>44</v>
      </c>
      <c r="G47">
        <v>4</v>
      </c>
      <c r="H47">
        <v>32000</v>
      </c>
      <c r="I47">
        <v>10</v>
      </c>
      <c r="J47">
        <f>product_sales[[#This Row],[price_per_unit]]*product_sales[[#This Row],[quantity]]</f>
        <v>128000</v>
      </c>
      <c r="K47">
        <f>product_sales[[#This Row],[total_sales]]*product_sales[[#This Row],[discount_in_percentage]]/100</f>
        <v>12800</v>
      </c>
      <c r="L47">
        <f>product_sales[[#This Row],[total_sales]]-product_sales[[#This Row],[discount_amount]]</f>
        <v>115200</v>
      </c>
      <c r="M47" s="4" t="str">
        <f>TEXT(product_sales[[#This Row],[date]],"mmmm")</f>
        <v>November</v>
      </c>
    </row>
    <row r="48" spans="1:13" x14ac:dyDescent="0.35">
      <c r="A48" s="1">
        <v>45984</v>
      </c>
      <c r="B48" t="s">
        <v>137</v>
      </c>
      <c r="C48" t="s">
        <v>138</v>
      </c>
      <c r="D48" t="s">
        <v>11</v>
      </c>
      <c r="E48" t="s">
        <v>75</v>
      </c>
      <c r="F48" t="s">
        <v>72</v>
      </c>
      <c r="G48">
        <v>18</v>
      </c>
      <c r="H48">
        <v>2500</v>
      </c>
      <c r="I48">
        <v>12</v>
      </c>
      <c r="J48">
        <f>product_sales[[#This Row],[price_per_unit]]*product_sales[[#This Row],[quantity]]</f>
        <v>45000</v>
      </c>
      <c r="K48">
        <f>product_sales[[#This Row],[total_sales]]*product_sales[[#This Row],[discount_in_percentage]]/100</f>
        <v>5400</v>
      </c>
      <c r="L48">
        <f>product_sales[[#This Row],[total_sales]]-product_sales[[#This Row],[discount_amount]]</f>
        <v>39600</v>
      </c>
      <c r="M48" s="4" t="str">
        <f>TEXT(product_sales[[#This Row],[date]],"mmmm")</f>
        <v>November</v>
      </c>
    </row>
    <row r="49" spans="1:13" x14ac:dyDescent="0.35">
      <c r="A49" s="1">
        <v>45991</v>
      </c>
      <c r="B49" t="s">
        <v>139</v>
      </c>
      <c r="C49" t="s">
        <v>140</v>
      </c>
      <c r="D49" t="s">
        <v>29</v>
      </c>
      <c r="E49" t="s">
        <v>105</v>
      </c>
      <c r="F49" t="s">
        <v>100</v>
      </c>
      <c r="G49">
        <v>27</v>
      </c>
      <c r="H49">
        <v>1200</v>
      </c>
      <c r="I49">
        <v>20</v>
      </c>
      <c r="J49">
        <f>product_sales[[#This Row],[price_per_unit]]*product_sales[[#This Row],[quantity]]</f>
        <v>32400</v>
      </c>
      <c r="K49">
        <f>product_sales[[#This Row],[total_sales]]*product_sales[[#This Row],[discount_in_percentage]]/100</f>
        <v>6480</v>
      </c>
      <c r="L49">
        <f>product_sales[[#This Row],[total_sales]]-product_sales[[#This Row],[discount_amount]]</f>
        <v>25920</v>
      </c>
      <c r="M49" s="4" t="str">
        <f>TEXT(product_sales[[#This Row],[date]],"mmmm")</f>
        <v>November</v>
      </c>
    </row>
    <row r="50" spans="1:13" x14ac:dyDescent="0.35">
      <c r="A50" s="1">
        <v>45998</v>
      </c>
      <c r="B50" t="s">
        <v>141</v>
      </c>
      <c r="C50" t="s">
        <v>142</v>
      </c>
      <c r="D50" t="s">
        <v>39</v>
      </c>
      <c r="E50" t="s">
        <v>20</v>
      </c>
      <c r="F50" t="s">
        <v>13</v>
      </c>
      <c r="G50">
        <v>21</v>
      </c>
      <c r="H50">
        <v>2800</v>
      </c>
      <c r="I50">
        <v>15</v>
      </c>
      <c r="J50">
        <f>product_sales[[#This Row],[price_per_unit]]*product_sales[[#This Row],[quantity]]</f>
        <v>58800</v>
      </c>
      <c r="K50">
        <f>product_sales[[#This Row],[total_sales]]*product_sales[[#This Row],[discount_in_percentage]]/100</f>
        <v>8820</v>
      </c>
      <c r="L50">
        <f>product_sales[[#This Row],[total_sales]]-product_sales[[#This Row],[discount_amount]]</f>
        <v>49980</v>
      </c>
      <c r="M50" s="4" t="str">
        <f>TEXT(product_sales[[#This Row],[date]],"mmmm")</f>
        <v>December</v>
      </c>
    </row>
    <row r="51" spans="1:13" x14ac:dyDescent="0.35">
      <c r="A51" s="1">
        <v>46005</v>
      </c>
      <c r="B51" t="s">
        <v>143</v>
      </c>
      <c r="C51" t="s">
        <v>144</v>
      </c>
      <c r="D51" t="s">
        <v>19</v>
      </c>
      <c r="E51" t="s">
        <v>50</v>
      </c>
      <c r="F51" t="s">
        <v>44</v>
      </c>
      <c r="G51">
        <v>8</v>
      </c>
      <c r="H51">
        <v>15000</v>
      </c>
      <c r="I51">
        <v>10</v>
      </c>
      <c r="J51">
        <f>product_sales[[#This Row],[price_per_unit]]*product_sales[[#This Row],[quantity]]</f>
        <v>120000</v>
      </c>
      <c r="K51">
        <f>product_sales[[#This Row],[total_sales]]*product_sales[[#This Row],[discount_in_percentage]]/100</f>
        <v>12000</v>
      </c>
      <c r="L51">
        <f>product_sales[[#This Row],[total_sales]]-product_sales[[#This Row],[discount_amount]]</f>
        <v>108000</v>
      </c>
      <c r="M51" s="4" t="str">
        <f>TEXT(product_sales[[#This Row],[date]],"mmmm")</f>
        <v>December</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Dashboard</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2026-07-01T11:49:22Z</dcterms:created>
  <dcterms:modified xsi:type="dcterms:W3CDTF">2026-07-02T11:23:10Z</dcterms:modified>
</cp:coreProperties>
</file>