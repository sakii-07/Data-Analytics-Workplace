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Data-Analytics-Workplace\Data Analytics\Data Analytics\Excel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48" i="1"/>
  <c r="K49" i="1"/>
  <c r="K41" i="1"/>
  <c r="G42" i="1"/>
  <c r="G43" i="1"/>
  <c r="G44" i="1"/>
  <c r="G45" i="1"/>
  <c r="G46" i="1"/>
  <c r="G47" i="1"/>
  <c r="G48" i="1"/>
  <c r="G41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" i="1"/>
  <c r="L20" i="1"/>
  <c r="L16" i="1"/>
  <c r="L15" i="1"/>
  <c r="L14" i="1"/>
  <c r="L12" i="1"/>
  <c r="D33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L8" i="1" l="1"/>
  <c r="L13" i="1"/>
  <c r="H3" i="1"/>
  <c r="L6" i="1"/>
  <c r="L4" i="1"/>
</calcChain>
</file>

<file path=xl/sharedStrings.xml><?xml version="1.0" encoding="utf-8"?>
<sst xmlns="http://schemas.openxmlformats.org/spreadsheetml/2006/main" count="87" uniqueCount="63">
  <si>
    <t>product_id</t>
  </si>
  <si>
    <t>product_name</t>
  </si>
  <si>
    <t>price</t>
  </si>
  <si>
    <t>category</t>
  </si>
  <si>
    <t>Laptop</t>
  </si>
  <si>
    <t>stock_quantity</t>
  </si>
  <si>
    <t>Electronics</t>
  </si>
  <si>
    <t>Mouse</t>
  </si>
  <si>
    <t>Keyboard</t>
  </si>
  <si>
    <t>Monitor</t>
  </si>
  <si>
    <t>Headphones</t>
  </si>
  <si>
    <t>Smartphone</t>
  </si>
  <si>
    <t>Tablet</t>
  </si>
  <si>
    <t>Printer</t>
  </si>
  <si>
    <t>Webcam</t>
  </si>
  <si>
    <t>Speaker</t>
  </si>
  <si>
    <t>Office Chair</t>
  </si>
  <si>
    <t>Furniture</t>
  </si>
  <si>
    <t>Study Table</t>
  </si>
  <si>
    <t>Bookshelf</t>
  </si>
  <si>
    <t>Water Bottle</t>
  </si>
  <si>
    <t>Home</t>
  </si>
  <si>
    <t>Lunch Box</t>
  </si>
  <si>
    <t>Coffee Mug</t>
  </si>
  <si>
    <t>LED Bulb</t>
  </si>
  <si>
    <t>Backpack</t>
  </si>
  <si>
    <t>Accessories</t>
  </si>
  <si>
    <t>Wallet</t>
  </si>
  <si>
    <t>Watch</t>
  </si>
  <si>
    <t>Notebook</t>
  </si>
  <si>
    <t>Stationery</t>
  </si>
  <si>
    <t>Pen Pack</t>
  </si>
  <si>
    <t>Marker Set</t>
  </si>
  <si>
    <t>Calculator</t>
  </si>
  <si>
    <t>T-Shirt</t>
  </si>
  <si>
    <t>Clothing</t>
  </si>
  <si>
    <t>Jeans</t>
  </si>
  <si>
    <t>Jacket</t>
  </si>
  <si>
    <t>Sneakers</t>
  </si>
  <si>
    <t>Footwear</t>
  </si>
  <si>
    <t>Sandals</t>
  </si>
  <si>
    <t>Sports Shoes</t>
  </si>
  <si>
    <t>Discoount(10%)</t>
  </si>
  <si>
    <t>sales</t>
  </si>
  <si>
    <t>Product details</t>
  </si>
  <si>
    <t>total sales</t>
  </si>
  <si>
    <t>total sales(ele)</t>
  </si>
  <si>
    <t>total sales(ele) pune</t>
  </si>
  <si>
    <t>count</t>
  </si>
  <si>
    <t>countblank</t>
  </si>
  <si>
    <t>countif</t>
  </si>
  <si>
    <t>sum</t>
  </si>
  <si>
    <t>countifs</t>
  </si>
  <si>
    <t>avg</t>
  </si>
  <si>
    <t>averageif</t>
  </si>
  <si>
    <t>aggrigate(hw)</t>
  </si>
  <si>
    <t>conditions -- if</t>
  </si>
  <si>
    <t>if(condition,stmt1,stmt2)</t>
  </si>
  <si>
    <t>sales status(if)</t>
  </si>
  <si>
    <t>qnty status(ifs)</t>
  </si>
  <si>
    <t>ifs(F3&gt;50,"high stock",f3&gt;30,"low stock",f3&gt;0,"very low stock",f3=0,"out of stock")</t>
  </si>
  <si>
    <t xml:space="preserve">         if with add(combine multiple conditions)</t>
  </si>
  <si>
    <t>or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</si>
</sst>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0" xfId="0" applyFont="1" applyFill="1" applyAlignment="1"/>
    <xf numFmtId="0" fontId="1" fillId="3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B34" workbookViewId="0">
      <selection activeCell="L43" sqref="L43"/>
    </sheetView>
  </sheetViews>
  <sheetFormatPr defaultRowHeight="14.5" x14ac:dyDescent="0.35"/>
  <cols>
    <col min="1" max="1" width="12.453125" bestFit="1" customWidth="1"/>
    <col min="2" max="2" width="16.453125" bestFit="1" customWidth="1"/>
    <col min="3" max="3" width="10.36328125" bestFit="1" customWidth="1"/>
    <col min="4" max="4" width="6.1796875" bestFit="1" customWidth="1"/>
    <col min="5" max="5" width="17.453125" style="2" bestFit="1" customWidth="1"/>
    <col min="6" max="6" width="16.453125" bestFit="1" customWidth="1"/>
    <col min="7" max="9" width="16.453125" style="2" customWidth="1"/>
    <col min="11" max="11" width="17.81640625" bestFit="1" customWidth="1"/>
  </cols>
  <sheetData>
    <row r="1" spans="1:13" s="2" customFormat="1" ht="22.5" customHeight="1" x14ac:dyDescent="0.35">
      <c r="A1" s="9" t="s">
        <v>44</v>
      </c>
      <c r="B1" s="9"/>
      <c r="C1" s="9"/>
      <c r="D1" s="9"/>
      <c r="E1" s="9"/>
      <c r="F1" s="9"/>
      <c r="G1" s="9"/>
      <c r="H1" s="4"/>
      <c r="I1" s="4"/>
    </row>
    <row r="2" spans="1:13" ht="28.5" customHeight="1" x14ac:dyDescent="0.35">
      <c r="A2" s="5" t="s">
        <v>0</v>
      </c>
      <c r="B2" s="5" t="s">
        <v>1</v>
      </c>
      <c r="C2" s="5" t="s">
        <v>3</v>
      </c>
      <c r="D2" s="5" t="s">
        <v>2</v>
      </c>
      <c r="E2" s="5" t="s">
        <v>42</v>
      </c>
      <c r="F2" s="5" t="s">
        <v>5</v>
      </c>
      <c r="G2" s="5" t="s">
        <v>43</v>
      </c>
      <c r="H2" s="11" t="s">
        <v>58</v>
      </c>
      <c r="I2" s="11" t="s">
        <v>59</v>
      </c>
      <c r="J2" s="2"/>
    </row>
    <row r="3" spans="1:13" ht="15.5" x14ac:dyDescent="0.35">
      <c r="A3" s="6">
        <v>101</v>
      </c>
      <c r="B3" s="6" t="s">
        <v>4</v>
      </c>
      <c r="C3" s="6" t="s">
        <v>6</v>
      </c>
      <c r="D3" s="6">
        <v>55000</v>
      </c>
      <c r="E3" s="6">
        <f>D3-D3*0.1</f>
        <v>49500</v>
      </c>
      <c r="F3" s="6">
        <v>25</v>
      </c>
      <c r="G3" s="6">
        <f>D3*F3</f>
        <v>1375000</v>
      </c>
      <c r="H3" s="8" t="str">
        <f>IF(G3&gt;40000,"High","Low")</f>
        <v>High</v>
      </c>
      <c r="I3" s="8" t="s">
        <v>60</v>
      </c>
      <c r="K3" s="10" t="s">
        <v>51</v>
      </c>
      <c r="L3" s="10"/>
      <c r="M3" s="10"/>
    </row>
    <row r="4" spans="1:13" ht="15.5" x14ac:dyDescent="0.35">
      <c r="A4" s="6">
        <v>102</v>
      </c>
      <c r="B4" s="6" t="s">
        <v>7</v>
      </c>
      <c r="C4" s="6" t="s">
        <v>6</v>
      </c>
      <c r="D4" s="6">
        <v>499</v>
      </c>
      <c r="E4" s="6">
        <f t="shared" ref="E4:E32" si="0">D4-D4*0.1</f>
        <v>449.1</v>
      </c>
      <c r="F4" s="6">
        <v>120</v>
      </c>
      <c r="G4" s="6">
        <f t="shared" ref="G4:G32" si="1">D4*F4</f>
        <v>59880</v>
      </c>
      <c r="H4" s="8" t="str">
        <f t="shared" ref="H4:H32" si="2">IF(G4&gt;40000,"High","Low")</f>
        <v>High</v>
      </c>
      <c r="I4" s="8" t="b">
        <f>AND(F4&gt;50,F4&lt;100)</f>
        <v>0</v>
      </c>
      <c r="K4" s="3" t="s">
        <v>45</v>
      </c>
      <c r="L4">
        <f>SUM(G3:G32)</f>
        <v>4943870</v>
      </c>
    </row>
    <row r="5" spans="1:13" ht="15.5" x14ac:dyDescent="0.35">
      <c r="A5" s="6">
        <v>103</v>
      </c>
      <c r="B5" s="6" t="s">
        <v>8</v>
      </c>
      <c r="C5" s="6" t="s">
        <v>6</v>
      </c>
      <c r="D5" s="6">
        <v>999</v>
      </c>
      <c r="E5" s="6">
        <f t="shared" si="0"/>
        <v>899.1</v>
      </c>
      <c r="F5" s="6">
        <v>80</v>
      </c>
      <c r="G5" s="6">
        <f t="shared" si="1"/>
        <v>79920</v>
      </c>
      <c r="H5" s="8" t="str">
        <f t="shared" si="2"/>
        <v>High</v>
      </c>
      <c r="I5" s="8" t="b">
        <f t="shared" ref="I5:I32" si="3">AND(F5&gt;50,F5&lt;100)</f>
        <v>1</v>
      </c>
    </row>
    <row r="6" spans="1:13" ht="15.5" x14ac:dyDescent="0.35">
      <c r="A6" s="6">
        <v>104</v>
      </c>
      <c r="B6" s="6" t="s">
        <v>9</v>
      </c>
      <c r="C6" s="6" t="s">
        <v>6</v>
      </c>
      <c r="D6" s="6">
        <v>12000</v>
      </c>
      <c r="E6" s="6">
        <f t="shared" si="0"/>
        <v>10800</v>
      </c>
      <c r="F6" s="6">
        <v>30</v>
      </c>
      <c r="G6" s="6">
        <f t="shared" si="1"/>
        <v>360000</v>
      </c>
      <c r="H6" s="8" t="str">
        <f t="shared" si="2"/>
        <v>High</v>
      </c>
      <c r="I6" s="8" t="b">
        <f t="shared" si="3"/>
        <v>0</v>
      </c>
      <c r="K6" s="2" t="s">
        <v>46</v>
      </c>
      <c r="L6" s="2">
        <f>SUMIF(C3:C32,"Electronics",G3:G32)</f>
        <v>3644740</v>
      </c>
    </row>
    <row r="7" spans="1:13" ht="18.5" customHeight="1" x14ac:dyDescent="0.35">
      <c r="A7" s="6">
        <v>105</v>
      </c>
      <c r="B7" s="6" t="s">
        <v>10</v>
      </c>
      <c r="C7" s="6" t="s">
        <v>6</v>
      </c>
      <c r="D7" s="6">
        <v>1999</v>
      </c>
      <c r="E7" s="6">
        <f t="shared" si="0"/>
        <v>1799.1</v>
      </c>
      <c r="F7" s="6">
        <v>60</v>
      </c>
      <c r="G7" s="6">
        <f t="shared" si="1"/>
        <v>119940</v>
      </c>
      <c r="H7" s="8" t="str">
        <f t="shared" si="2"/>
        <v>High</v>
      </c>
      <c r="I7" s="8" t="b">
        <f t="shared" si="3"/>
        <v>1</v>
      </c>
    </row>
    <row r="8" spans="1:13" ht="15.5" x14ac:dyDescent="0.35">
      <c r="A8" s="6">
        <v>106</v>
      </c>
      <c r="B8" s="6" t="s">
        <v>11</v>
      </c>
      <c r="C8" s="6" t="s">
        <v>6</v>
      </c>
      <c r="D8" s="6">
        <v>25000</v>
      </c>
      <c r="E8" s="6">
        <f t="shared" si="0"/>
        <v>22500</v>
      </c>
      <c r="F8" s="6">
        <v>40</v>
      </c>
      <c r="G8" s="6">
        <f t="shared" si="1"/>
        <v>1000000</v>
      </c>
      <c r="H8" s="8" t="str">
        <f t="shared" si="2"/>
        <v>High</v>
      </c>
      <c r="I8" s="8" t="b">
        <f t="shared" si="3"/>
        <v>0</v>
      </c>
      <c r="K8" t="s">
        <v>47</v>
      </c>
      <c r="L8">
        <f>SUMIFS(G3:G32,C3:C32,"Electronics",F3:F32,"&lt;150")</f>
        <v>3644740</v>
      </c>
    </row>
    <row r="9" spans="1:13" ht="15.5" x14ac:dyDescent="0.35">
      <c r="A9" s="6">
        <v>107</v>
      </c>
      <c r="B9" s="6" t="s">
        <v>12</v>
      </c>
      <c r="C9" s="6" t="s">
        <v>6</v>
      </c>
      <c r="D9" s="6">
        <v>18000</v>
      </c>
      <c r="E9" s="6">
        <f t="shared" si="0"/>
        <v>16200</v>
      </c>
      <c r="F9" s="6">
        <v>20</v>
      </c>
      <c r="G9" s="6">
        <f t="shared" si="1"/>
        <v>360000</v>
      </c>
      <c r="H9" s="8" t="str">
        <f t="shared" si="2"/>
        <v>High</v>
      </c>
      <c r="I9" s="8" t="b">
        <f t="shared" si="3"/>
        <v>0</v>
      </c>
    </row>
    <row r="10" spans="1:13" ht="15.5" x14ac:dyDescent="0.35">
      <c r="A10" s="6">
        <v>108</v>
      </c>
      <c r="B10" s="6" t="s">
        <v>13</v>
      </c>
      <c r="C10" s="6" t="s">
        <v>6</v>
      </c>
      <c r="D10" s="6">
        <v>8500</v>
      </c>
      <c r="E10" s="6">
        <f t="shared" si="0"/>
        <v>7650</v>
      </c>
      <c r="F10" s="6">
        <v>15</v>
      </c>
      <c r="G10" s="6">
        <f t="shared" si="1"/>
        <v>127500</v>
      </c>
      <c r="H10" s="8" t="str">
        <f t="shared" si="2"/>
        <v>High</v>
      </c>
      <c r="I10" s="8" t="b">
        <f t="shared" si="3"/>
        <v>0</v>
      </c>
    </row>
    <row r="11" spans="1:13" ht="15.5" x14ac:dyDescent="0.35">
      <c r="A11" s="6">
        <v>109</v>
      </c>
      <c r="B11" s="6" t="s">
        <v>14</v>
      </c>
      <c r="C11" s="6" t="s">
        <v>6</v>
      </c>
      <c r="D11" s="6">
        <v>1500</v>
      </c>
      <c r="E11" s="6">
        <f t="shared" si="0"/>
        <v>1350</v>
      </c>
      <c r="F11" s="6">
        <v>35</v>
      </c>
      <c r="G11" s="6">
        <f t="shared" si="1"/>
        <v>52500</v>
      </c>
      <c r="H11" s="8" t="str">
        <f t="shared" si="2"/>
        <v>High</v>
      </c>
      <c r="I11" s="8" t="b">
        <f t="shared" si="3"/>
        <v>0</v>
      </c>
      <c r="K11" s="10" t="s">
        <v>48</v>
      </c>
      <c r="L11" s="10"/>
      <c r="M11" s="10"/>
    </row>
    <row r="12" spans="1:13" ht="15.5" x14ac:dyDescent="0.35">
      <c r="A12" s="6">
        <v>110</v>
      </c>
      <c r="B12" s="6" t="s">
        <v>15</v>
      </c>
      <c r="C12" s="6" t="s">
        <v>6</v>
      </c>
      <c r="D12" s="6">
        <v>2200</v>
      </c>
      <c r="E12" s="6">
        <f t="shared" si="0"/>
        <v>1980</v>
      </c>
      <c r="F12" s="6">
        <v>50</v>
      </c>
      <c r="G12" s="6">
        <f t="shared" si="1"/>
        <v>110000</v>
      </c>
      <c r="H12" s="8" t="str">
        <f t="shared" si="2"/>
        <v>High</v>
      </c>
      <c r="I12" s="8" t="b">
        <f t="shared" si="3"/>
        <v>0</v>
      </c>
      <c r="K12" t="s">
        <v>48</v>
      </c>
      <c r="L12">
        <f>COUNT(F3:F32)</f>
        <v>30</v>
      </c>
    </row>
    <row r="13" spans="1:13" ht="15.5" x14ac:dyDescent="0.35">
      <c r="A13" s="6">
        <v>111</v>
      </c>
      <c r="B13" s="6" t="s">
        <v>16</v>
      </c>
      <c r="C13" s="6" t="s">
        <v>17</v>
      </c>
      <c r="D13" s="6">
        <v>4500</v>
      </c>
      <c r="E13" s="6">
        <f t="shared" si="0"/>
        <v>4050</v>
      </c>
      <c r="F13" s="6">
        <v>18</v>
      </c>
      <c r="G13" s="6">
        <f t="shared" si="1"/>
        <v>81000</v>
      </c>
      <c r="H13" s="8" t="str">
        <f t="shared" si="2"/>
        <v>High</v>
      </c>
      <c r="I13" s="8" t="b">
        <f t="shared" si="3"/>
        <v>0</v>
      </c>
      <c r="K13" t="s">
        <v>49</v>
      </c>
      <c r="L13">
        <f>COUNTBLANK(G3:G35)</f>
        <v>3</v>
      </c>
    </row>
    <row r="14" spans="1:13" ht="15.5" x14ac:dyDescent="0.35">
      <c r="A14" s="6">
        <v>112</v>
      </c>
      <c r="B14" s="6" t="s">
        <v>18</v>
      </c>
      <c r="C14" s="6" t="s">
        <v>17</v>
      </c>
      <c r="D14" s="6">
        <v>6000</v>
      </c>
      <c r="E14" s="6">
        <f t="shared" si="0"/>
        <v>5400</v>
      </c>
      <c r="F14" s="6">
        <v>12</v>
      </c>
      <c r="G14" s="6">
        <f t="shared" si="1"/>
        <v>72000</v>
      </c>
      <c r="H14" s="8" t="str">
        <f t="shared" si="2"/>
        <v>High</v>
      </c>
      <c r="I14" s="8" t="b">
        <f t="shared" si="3"/>
        <v>0</v>
      </c>
      <c r="K14" t="s">
        <v>50</v>
      </c>
      <c r="L14">
        <f>COUNTIF(C3:C32,C4)</f>
        <v>10</v>
      </c>
    </row>
    <row r="15" spans="1:13" ht="15.5" x14ac:dyDescent="0.35">
      <c r="A15" s="6">
        <v>113</v>
      </c>
      <c r="B15" s="6" t="s">
        <v>19</v>
      </c>
      <c r="C15" s="6" t="s">
        <v>17</v>
      </c>
      <c r="D15" s="6">
        <v>3500</v>
      </c>
      <c r="E15" s="6">
        <f t="shared" si="0"/>
        <v>3150</v>
      </c>
      <c r="F15" s="6">
        <v>10</v>
      </c>
      <c r="G15" s="6">
        <f t="shared" si="1"/>
        <v>35000</v>
      </c>
      <c r="H15" s="8" t="str">
        <f t="shared" si="2"/>
        <v>Low</v>
      </c>
      <c r="I15" s="8" t="b">
        <f t="shared" si="3"/>
        <v>0</v>
      </c>
      <c r="L15">
        <f>COUNTIF(F3:F32,"&lt;20")</f>
        <v>4</v>
      </c>
    </row>
    <row r="16" spans="1:13" ht="15.5" x14ac:dyDescent="0.35">
      <c r="A16" s="6">
        <v>114</v>
      </c>
      <c r="B16" s="6" t="s">
        <v>20</v>
      </c>
      <c r="C16" s="6" t="s">
        <v>21</v>
      </c>
      <c r="D16" s="6">
        <v>299</v>
      </c>
      <c r="E16" s="6">
        <f t="shared" si="0"/>
        <v>269.10000000000002</v>
      </c>
      <c r="F16" s="6">
        <v>150</v>
      </c>
      <c r="G16" s="6">
        <f t="shared" si="1"/>
        <v>44850</v>
      </c>
      <c r="H16" s="8" t="str">
        <f t="shared" si="2"/>
        <v>High</v>
      </c>
      <c r="I16" s="8" t="b">
        <f t="shared" si="3"/>
        <v>0</v>
      </c>
      <c r="K16" t="s">
        <v>52</v>
      </c>
      <c r="L16">
        <f>COUNTIFS(C3:C32,C6,D3:D32,"&lt;1000")</f>
        <v>2</v>
      </c>
    </row>
    <row r="17" spans="1:13" ht="15.5" x14ac:dyDescent="0.35">
      <c r="A17" s="6">
        <v>115</v>
      </c>
      <c r="B17" s="6" t="s">
        <v>22</v>
      </c>
      <c r="C17" s="6" t="s">
        <v>21</v>
      </c>
      <c r="D17" s="6">
        <v>399</v>
      </c>
      <c r="E17" s="6">
        <f t="shared" si="0"/>
        <v>359.1</v>
      </c>
      <c r="F17" s="6">
        <v>100</v>
      </c>
      <c r="G17" s="6">
        <f t="shared" si="1"/>
        <v>39900</v>
      </c>
      <c r="H17" s="8" t="str">
        <f t="shared" si="2"/>
        <v>Low</v>
      </c>
      <c r="I17" s="8" t="b">
        <f t="shared" si="3"/>
        <v>0</v>
      </c>
    </row>
    <row r="18" spans="1:13" ht="15.5" x14ac:dyDescent="0.35">
      <c r="A18" s="6">
        <v>116</v>
      </c>
      <c r="B18" s="6" t="s">
        <v>23</v>
      </c>
      <c r="C18" s="6" t="s">
        <v>21</v>
      </c>
      <c r="D18" s="6">
        <v>199</v>
      </c>
      <c r="E18" s="6">
        <f t="shared" si="0"/>
        <v>179.1</v>
      </c>
      <c r="F18" s="6">
        <v>200</v>
      </c>
      <c r="G18" s="6">
        <f t="shared" si="1"/>
        <v>39800</v>
      </c>
      <c r="H18" s="8" t="str">
        <f t="shared" si="2"/>
        <v>Low</v>
      </c>
      <c r="I18" s="8" t="b">
        <f t="shared" si="3"/>
        <v>0</v>
      </c>
    </row>
    <row r="19" spans="1:13" ht="15.5" x14ac:dyDescent="0.35">
      <c r="A19" s="6">
        <v>117</v>
      </c>
      <c r="B19" s="6" t="s">
        <v>24</v>
      </c>
      <c r="C19" s="6" t="s">
        <v>21</v>
      </c>
      <c r="D19" s="6">
        <v>149</v>
      </c>
      <c r="E19" s="6">
        <f t="shared" si="0"/>
        <v>134.1</v>
      </c>
      <c r="F19" s="6">
        <v>300</v>
      </c>
      <c r="G19" s="6">
        <f t="shared" si="1"/>
        <v>44700</v>
      </c>
      <c r="H19" s="8" t="str">
        <f t="shared" si="2"/>
        <v>High</v>
      </c>
      <c r="I19" s="8" t="b">
        <f t="shared" si="3"/>
        <v>0</v>
      </c>
      <c r="K19" s="10" t="s">
        <v>55</v>
      </c>
      <c r="L19" s="10"/>
      <c r="M19" s="10"/>
    </row>
    <row r="20" spans="1:13" ht="15.5" x14ac:dyDescent="0.35">
      <c r="A20" s="6">
        <v>118</v>
      </c>
      <c r="B20" s="6" t="s">
        <v>25</v>
      </c>
      <c r="C20" s="6" t="s">
        <v>26</v>
      </c>
      <c r="D20" s="6">
        <v>899</v>
      </c>
      <c r="E20" s="6">
        <f t="shared" si="0"/>
        <v>809.1</v>
      </c>
      <c r="F20" s="6">
        <v>70</v>
      </c>
      <c r="G20" s="6">
        <f t="shared" si="1"/>
        <v>62930</v>
      </c>
      <c r="H20" s="8" t="str">
        <f t="shared" si="2"/>
        <v>High</v>
      </c>
      <c r="I20" s="8" t="b">
        <f t="shared" si="3"/>
        <v>1</v>
      </c>
      <c r="K20" t="s">
        <v>53</v>
      </c>
      <c r="L20">
        <f>AVERAGE(F3:F32)</f>
        <v>96.166666666666671</v>
      </c>
    </row>
    <row r="21" spans="1:13" ht="15.5" x14ac:dyDescent="0.35">
      <c r="A21" s="6">
        <v>119</v>
      </c>
      <c r="B21" s="6" t="s">
        <v>27</v>
      </c>
      <c r="C21" s="6" t="s">
        <v>26</v>
      </c>
      <c r="D21" s="6">
        <v>599</v>
      </c>
      <c r="E21" s="6">
        <f t="shared" si="0"/>
        <v>539.1</v>
      </c>
      <c r="F21" s="6">
        <v>90</v>
      </c>
      <c r="G21" s="6">
        <f t="shared" si="1"/>
        <v>53910</v>
      </c>
      <c r="H21" s="8" t="str">
        <f t="shared" si="2"/>
        <v>High</v>
      </c>
      <c r="I21" s="8" t="b">
        <f t="shared" si="3"/>
        <v>1</v>
      </c>
      <c r="K21" t="s">
        <v>54</v>
      </c>
    </row>
    <row r="22" spans="1:13" ht="15.5" x14ac:dyDescent="0.35">
      <c r="A22" s="6">
        <v>120</v>
      </c>
      <c r="B22" s="6" t="s">
        <v>28</v>
      </c>
      <c r="C22" s="6" t="s">
        <v>26</v>
      </c>
      <c r="D22" s="6">
        <v>2499</v>
      </c>
      <c r="E22" s="6">
        <f t="shared" si="0"/>
        <v>2249.1</v>
      </c>
      <c r="F22" s="6">
        <v>45</v>
      </c>
      <c r="G22" s="6">
        <f t="shared" si="1"/>
        <v>112455</v>
      </c>
      <c r="H22" s="8" t="str">
        <f t="shared" si="2"/>
        <v>High</v>
      </c>
      <c r="I22" s="8" t="b">
        <f t="shared" si="3"/>
        <v>0</v>
      </c>
    </row>
    <row r="23" spans="1:13" ht="15.5" x14ac:dyDescent="0.35">
      <c r="A23" s="6">
        <v>121</v>
      </c>
      <c r="B23" s="6" t="s">
        <v>29</v>
      </c>
      <c r="C23" s="6" t="s">
        <v>30</v>
      </c>
      <c r="D23" s="6">
        <v>99</v>
      </c>
      <c r="E23" s="6">
        <f t="shared" si="0"/>
        <v>89.1</v>
      </c>
      <c r="F23" s="6">
        <v>500</v>
      </c>
      <c r="G23" s="6">
        <f t="shared" si="1"/>
        <v>49500</v>
      </c>
      <c r="H23" s="8" t="str">
        <f t="shared" si="2"/>
        <v>High</v>
      </c>
      <c r="I23" s="8" t="b">
        <f t="shared" si="3"/>
        <v>0</v>
      </c>
    </row>
    <row r="24" spans="1:13" ht="15.5" x14ac:dyDescent="0.35">
      <c r="A24" s="6">
        <v>122</v>
      </c>
      <c r="B24" s="6" t="s">
        <v>31</v>
      </c>
      <c r="C24" s="6" t="s">
        <v>30</v>
      </c>
      <c r="D24" s="6">
        <v>149</v>
      </c>
      <c r="E24" s="6">
        <f t="shared" si="0"/>
        <v>134.1</v>
      </c>
      <c r="F24" s="6">
        <v>400</v>
      </c>
      <c r="G24" s="6">
        <f t="shared" si="1"/>
        <v>59600</v>
      </c>
      <c r="H24" s="8" t="str">
        <f t="shared" si="2"/>
        <v>High</v>
      </c>
      <c r="I24" s="8" t="b">
        <f t="shared" si="3"/>
        <v>0</v>
      </c>
      <c r="K24" s="10" t="s">
        <v>56</v>
      </c>
      <c r="L24" s="10"/>
      <c r="M24" s="10"/>
    </row>
    <row r="25" spans="1:13" ht="15.5" x14ac:dyDescent="0.35">
      <c r="A25" s="6">
        <v>123</v>
      </c>
      <c r="B25" s="6" t="s">
        <v>32</v>
      </c>
      <c r="C25" s="6" t="s">
        <v>30</v>
      </c>
      <c r="D25" s="6">
        <v>249</v>
      </c>
      <c r="E25" s="6">
        <f t="shared" si="0"/>
        <v>224.1</v>
      </c>
      <c r="F25" s="6">
        <v>150</v>
      </c>
      <c r="G25" s="6">
        <f t="shared" si="1"/>
        <v>37350</v>
      </c>
      <c r="H25" s="8" t="str">
        <f t="shared" si="2"/>
        <v>Low</v>
      </c>
      <c r="I25" s="8" t="b">
        <f t="shared" si="3"/>
        <v>0</v>
      </c>
      <c r="K25" t="s">
        <v>57</v>
      </c>
    </row>
    <row r="26" spans="1:13" ht="15.5" x14ac:dyDescent="0.35">
      <c r="A26" s="6">
        <v>124</v>
      </c>
      <c r="B26" s="6" t="s">
        <v>33</v>
      </c>
      <c r="C26" s="6" t="s">
        <v>30</v>
      </c>
      <c r="D26" s="6">
        <v>699</v>
      </c>
      <c r="E26" s="6">
        <f t="shared" si="0"/>
        <v>629.1</v>
      </c>
      <c r="F26" s="6">
        <v>55</v>
      </c>
      <c r="G26" s="6">
        <f t="shared" si="1"/>
        <v>38445</v>
      </c>
      <c r="H26" s="8" t="str">
        <f t="shared" si="2"/>
        <v>Low</v>
      </c>
      <c r="I26" s="8" t="b">
        <f t="shared" si="3"/>
        <v>1</v>
      </c>
    </row>
    <row r="27" spans="1:13" ht="15.5" x14ac:dyDescent="0.35">
      <c r="A27" s="6">
        <v>125</v>
      </c>
      <c r="B27" s="6" t="s">
        <v>34</v>
      </c>
      <c r="C27" s="6" t="s">
        <v>35</v>
      </c>
      <c r="D27" s="6">
        <v>799</v>
      </c>
      <c r="E27" s="6">
        <f t="shared" si="0"/>
        <v>719.1</v>
      </c>
      <c r="F27" s="6">
        <v>85</v>
      </c>
      <c r="G27" s="6">
        <f t="shared" si="1"/>
        <v>67915</v>
      </c>
      <c r="H27" s="8" t="str">
        <f t="shared" si="2"/>
        <v>High</v>
      </c>
      <c r="I27" s="8" t="b">
        <f t="shared" si="3"/>
        <v>1</v>
      </c>
    </row>
    <row r="28" spans="1:13" ht="15.5" x14ac:dyDescent="0.35">
      <c r="A28" s="6">
        <v>126</v>
      </c>
      <c r="B28" s="6" t="s">
        <v>36</v>
      </c>
      <c r="C28" s="6" t="s">
        <v>35</v>
      </c>
      <c r="D28" s="6">
        <v>1499</v>
      </c>
      <c r="E28" s="6">
        <f t="shared" si="0"/>
        <v>1349.1</v>
      </c>
      <c r="F28" s="6">
        <v>60</v>
      </c>
      <c r="G28" s="6">
        <f t="shared" si="1"/>
        <v>89940</v>
      </c>
      <c r="H28" s="8" t="str">
        <f t="shared" si="2"/>
        <v>High</v>
      </c>
      <c r="I28" s="8" t="b">
        <f t="shared" si="3"/>
        <v>1</v>
      </c>
    </row>
    <row r="29" spans="1:13" ht="15.5" x14ac:dyDescent="0.35">
      <c r="A29" s="6">
        <v>127</v>
      </c>
      <c r="B29" s="6" t="s">
        <v>37</v>
      </c>
      <c r="C29" s="6" t="s">
        <v>35</v>
      </c>
      <c r="D29" s="6">
        <v>2499</v>
      </c>
      <c r="E29" s="6">
        <f t="shared" si="0"/>
        <v>2249.1</v>
      </c>
      <c r="F29" s="6">
        <v>25</v>
      </c>
      <c r="G29" s="6">
        <f t="shared" si="1"/>
        <v>62475</v>
      </c>
      <c r="H29" s="8" t="str">
        <f t="shared" si="2"/>
        <v>High</v>
      </c>
      <c r="I29" s="8" t="b">
        <f t="shared" si="3"/>
        <v>0</v>
      </c>
    </row>
    <row r="30" spans="1:13" ht="15.5" x14ac:dyDescent="0.35">
      <c r="A30" s="6">
        <v>128</v>
      </c>
      <c r="B30" s="6" t="s">
        <v>38</v>
      </c>
      <c r="C30" s="6" t="s">
        <v>39</v>
      </c>
      <c r="D30" s="6">
        <v>2999</v>
      </c>
      <c r="E30" s="6">
        <f t="shared" si="0"/>
        <v>2699.1</v>
      </c>
      <c r="F30" s="6">
        <v>40</v>
      </c>
      <c r="G30" s="6">
        <f t="shared" si="1"/>
        <v>119960</v>
      </c>
      <c r="H30" s="8" t="str">
        <f t="shared" si="2"/>
        <v>High</v>
      </c>
      <c r="I30" s="8" t="b">
        <f t="shared" si="3"/>
        <v>0</v>
      </c>
    </row>
    <row r="31" spans="1:13" ht="15.5" x14ac:dyDescent="0.35">
      <c r="A31" s="6">
        <v>129</v>
      </c>
      <c r="B31" s="6" t="s">
        <v>40</v>
      </c>
      <c r="C31" s="6" t="s">
        <v>39</v>
      </c>
      <c r="D31" s="6">
        <v>999</v>
      </c>
      <c r="E31" s="6">
        <f t="shared" si="0"/>
        <v>899.1</v>
      </c>
      <c r="F31" s="6">
        <v>65</v>
      </c>
      <c r="G31" s="6">
        <f t="shared" si="1"/>
        <v>64935</v>
      </c>
      <c r="H31" s="8" t="str">
        <f t="shared" si="2"/>
        <v>High</v>
      </c>
      <c r="I31" s="8" t="b">
        <f t="shared" si="3"/>
        <v>1</v>
      </c>
    </row>
    <row r="32" spans="1:13" ht="15.5" x14ac:dyDescent="0.35">
      <c r="A32" s="6">
        <v>130</v>
      </c>
      <c r="B32" s="6" t="s">
        <v>41</v>
      </c>
      <c r="C32" s="6" t="s">
        <v>39</v>
      </c>
      <c r="D32" s="6">
        <v>3499</v>
      </c>
      <c r="E32" s="6">
        <f t="shared" si="0"/>
        <v>3149.1</v>
      </c>
      <c r="F32" s="6">
        <v>35</v>
      </c>
      <c r="G32" s="6">
        <f t="shared" si="1"/>
        <v>122465</v>
      </c>
      <c r="H32" s="8" t="str">
        <f t="shared" si="2"/>
        <v>High</v>
      </c>
      <c r="I32" s="8" t="b">
        <f t="shared" si="3"/>
        <v>0</v>
      </c>
    </row>
    <row r="33" spans="1:12" ht="15.5" x14ac:dyDescent="0.35">
      <c r="A33" s="7"/>
      <c r="B33" s="7"/>
      <c r="C33" s="7"/>
      <c r="D33" s="7">
        <f>MAX(D3:D32)</f>
        <v>55000</v>
      </c>
      <c r="E33" s="7"/>
      <c r="F33" s="7"/>
      <c r="G33" s="7"/>
      <c r="H33" s="8"/>
      <c r="I33" s="8"/>
    </row>
    <row r="34" spans="1:12" ht="15.5" x14ac:dyDescent="0.35">
      <c r="A34" s="8"/>
      <c r="B34" s="8"/>
      <c r="C34" s="8"/>
      <c r="D34" s="8"/>
      <c r="E34" s="8"/>
      <c r="F34" s="8"/>
      <c r="G34" s="8"/>
      <c r="H34" s="8"/>
      <c r="I34" s="8"/>
    </row>
    <row r="35" spans="1:12" ht="15.5" x14ac:dyDescent="0.35">
      <c r="A35" s="8"/>
      <c r="B35" s="8"/>
      <c r="C35" s="8"/>
      <c r="D35" s="8"/>
      <c r="E35" s="8"/>
      <c r="F35" s="8"/>
      <c r="G35" s="8"/>
      <c r="H35" s="8"/>
      <c r="I35" s="8"/>
    </row>
    <row r="36" spans="1:12" ht="15.5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12" ht="15.5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12" ht="15.5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12" ht="15.5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12" ht="15.5" x14ac:dyDescent="0.35">
      <c r="A40" s="1"/>
      <c r="B40" s="1"/>
      <c r="C40" s="1"/>
      <c r="D40" s="1"/>
      <c r="E40" s="1"/>
      <c r="F40" s="12" t="s">
        <v>61</v>
      </c>
      <c r="G40" s="12"/>
      <c r="H40" s="13"/>
      <c r="I40" s="1"/>
      <c r="J40" s="10" t="s">
        <v>62</v>
      </c>
      <c r="K40" s="10"/>
      <c r="L40" s="10"/>
    </row>
    <row r="41" spans="1:12" ht="15.5" x14ac:dyDescent="0.35">
      <c r="A41" s="1"/>
      <c r="B41" s="1"/>
      <c r="C41" s="1"/>
      <c r="D41" s="1"/>
      <c r="E41" s="1"/>
      <c r="F41" s="1">
        <v>10</v>
      </c>
      <c r="G41" s="1" t="str">
        <f>IF(AND(F41&gt;40,F41&lt;70),"GOOD","Bad")</f>
        <v>Bad</v>
      </c>
      <c r="H41" s="1"/>
      <c r="I41" s="1"/>
      <c r="J41">
        <v>10</v>
      </c>
      <c r="K41" t="str">
        <f>IF(OR(J41&gt;80,J41&lt;20),"Good","bad")</f>
        <v>Good</v>
      </c>
    </row>
    <row r="42" spans="1:12" ht="15.5" x14ac:dyDescent="0.35">
      <c r="A42" s="1"/>
      <c r="B42" s="1"/>
      <c r="C42" s="1"/>
      <c r="D42" s="1"/>
      <c r="E42" s="1"/>
      <c r="F42" s="1">
        <v>20</v>
      </c>
      <c r="G42" s="1" t="str">
        <f t="shared" ref="G42:G48" si="4">IF(AND(F42&gt;40,F42&lt;70),"GOOD","Bad")</f>
        <v>Bad</v>
      </c>
      <c r="H42" s="1"/>
      <c r="I42" s="1"/>
      <c r="J42">
        <v>20</v>
      </c>
      <c r="K42" s="2" t="str">
        <f t="shared" ref="K42:K49" si="5">IF(OR(J42&gt;80,J42&lt;20),"Good","bad")</f>
        <v>bad</v>
      </c>
    </row>
    <row r="43" spans="1:12" ht="15.5" x14ac:dyDescent="0.35">
      <c r="A43" s="1"/>
      <c r="B43" s="1"/>
      <c r="C43" s="1"/>
      <c r="D43" s="1"/>
      <c r="E43" s="1"/>
      <c r="F43" s="1">
        <v>30</v>
      </c>
      <c r="G43" s="1" t="str">
        <f t="shared" si="4"/>
        <v>Bad</v>
      </c>
      <c r="H43" s="1"/>
      <c r="I43" s="1"/>
      <c r="J43">
        <v>30</v>
      </c>
      <c r="K43" s="2" t="str">
        <f t="shared" si="5"/>
        <v>bad</v>
      </c>
    </row>
    <row r="44" spans="1:12" ht="15.5" x14ac:dyDescent="0.35">
      <c r="F44" s="1">
        <v>40</v>
      </c>
      <c r="G44" s="1" t="str">
        <f t="shared" si="4"/>
        <v>Bad</v>
      </c>
      <c r="J44">
        <v>40</v>
      </c>
      <c r="K44" s="2" t="str">
        <f t="shared" si="5"/>
        <v>bad</v>
      </c>
    </row>
    <row r="45" spans="1:12" ht="15.5" x14ac:dyDescent="0.35">
      <c r="F45" s="1">
        <v>50</v>
      </c>
      <c r="G45" s="1" t="str">
        <f t="shared" si="4"/>
        <v>GOOD</v>
      </c>
      <c r="J45">
        <v>50</v>
      </c>
      <c r="K45" s="2" t="str">
        <f t="shared" si="5"/>
        <v>bad</v>
      </c>
    </row>
    <row r="46" spans="1:12" ht="15.5" x14ac:dyDescent="0.35">
      <c r="F46" s="1">
        <v>60</v>
      </c>
      <c r="G46" s="1" t="str">
        <f t="shared" si="4"/>
        <v>GOOD</v>
      </c>
      <c r="J46">
        <v>60</v>
      </c>
      <c r="K46" s="2" t="str">
        <f t="shared" si="5"/>
        <v>bad</v>
      </c>
    </row>
    <row r="47" spans="1:12" ht="15.5" x14ac:dyDescent="0.35">
      <c r="F47" s="1">
        <v>70</v>
      </c>
      <c r="G47" s="1" t="str">
        <f t="shared" si="4"/>
        <v>Bad</v>
      </c>
      <c r="J47">
        <v>70</v>
      </c>
      <c r="K47" s="2" t="str">
        <f t="shared" si="5"/>
        <v>bad</v>
      </c>
    </row>
    <row r="48" spans="1:12" ht="15.5" x14ac:dyDescent="0.35">
      <c r="F48" s="1">
        <v>80</v>
      </c>
      <c r="G48" s="1" t="str">
        <f t="shared" si="4"/>
        <v>Bad</v>
      </c>
      <c r="J48">
        <v>80</v>
      </c>
      <c r="K48" s="2" t="str">
        <f t="shared" si="5"/>
        <v>bad</v>
      </c>
    </row>
    <row r="49" spans="10:11" x14ac:dyDescent="0.35">
      <c r="J49">
        <v>90</v>
      </c>
      <c r="K49" s="2" t="str">
        <f t="shared" si="5"/>
        <v>Good</v>
      </c>
    </row>
  </sheetData>
  <mergeCells count="6">
    <mergeCell ref="J40:L40"/>
    <mergeCell ref="A1:G1"/>
    <mergeCell ref="K11:M11"/>
    <mergeCell ref="K3:M3"/>
    <mergeCell ref="K19:M19"/>
    <mergeCell ref="K24:M24"/>
  </mergeCells>
  <conditionalFormatting sqref="F1:F1048576">
    <cfRule type="cellIs" dxfId="1" priority="3" operator="between">
      <formula>100</formula>
      <formula>300</formula>
    </cfRule>
  </conditionalFormatting>
  <conditionalFormatting sqref="C1:C1048576">
    <cfRule type="containsText" dxfId="0" priority="2" operator="containsText" text="Home">
      <formula>NOT(ISERROR(SEARCH("Home",C1)))</formula>
    </cfRule>
  </conditionalFormatting>
  <conditionalFormatting sqref="G1:I39 H40:I40 G41:I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{DEA0B7E6-F010-4591-8FF8-E9386B050100}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0B7E6-F010-4591-8FF8-E9386B050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G1:I39 H40:I40 G41:I1048576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2026-06-25T12:04:50Z</dcterms:created>
  <dcterms:modified xsi:type="dcterms:W3CDTF">2026-06-26T13:23:31Z</dcterms:modified>
</cp:coreProperties>
</file>